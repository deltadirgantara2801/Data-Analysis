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Data Excel\"/>
    </mc:Choice>
  </mc:AlternateContent>
  <xr:revisionPtr revIDLastSave="0" documentId="13_ncr:1_{CC0CAF5C-C5F5-45B8-A42D-E01746FD4288}" xr6:coauthVersionLast="47" xr6:coauthVersionMax="47" xr10:uidLastSave="{00000000-0000-0000-0000-000000000000}"/>
  <bookViews>
    <workbookView xWindow="-108" yWindow="-108" windowWidth="23256" windowHeight="12456" firstSheet="7" activeTab="11" xr2:uid="{C82CEC7B-AB81-4480-AF74-281EA1C9C018}"/>
  </bookViews>
  <sheets>
    <sheet name="Employee" sheetId="5" r:id="rId1"/>
    <sheet name="Department" sheetId="21" r:id="rId2"/>
    <sheet name="Employee Position" sheetId="19" r:id="rId3"/>
    <sheet name="Company Employee" sheetId="20" r:id="rId4"/>
    <sheet name="Filter Employee" sheetId="22" r:id="rId5"/>
    <sheet name="Brand Name" sheetId="2" r:id="rId6"/>
    <sheet name="Store" sheetId="6" r:id="rId7"/>
    <sheet name="Category Item" sheetId="3" r:id="rId8"/>
    <sheet name="Supplier" sheetId="4" r:id="rId9"/>
    <sheet name="Product Item" sheetId="1" r:id="rId10"/>
    <sheet name="Purchase Order" sheetId="7" r:id="rId11"/>
    <sheet name="Sales" sheetId="9" r:id="rId12"/>
    <sheet name="Stock Unit" sheetId="8" r:id="rId13"/>
    <sheet name="Inventory" sheetId="16" r:id="rId14"/>
    <sheet name="LOG" sheetId="15" r:id="rId15"/>
    <sheet name="FIFO COGS" sheetId="11" r:id="rId16"/>
  </sheets>
  <definedNames>
    <definedName name="_xlnm._FilterDatabase" localSheetId="9" hidden="1">'Product Item'!$G$6:$G$24</definedName>
    <definedName name="_xlnm._FilterDatabase" localSheetId="12" hidden="1">'Stock Unit'!$B$4:$I$5</definedName>
    <definedName name="_xlcn.WorksheetConnection_SalesElectronics.xlsmTable41" hidden="1">Tab_Store[]</definedName>
    <definedName name="_xlnm.Extract" localSheetId="15">'FIFO COGS'!$A$3:$A$14</definedName>
    <definedName name="ListBrand">'Brand Name'!$E$6:$E$100</definedName>
    <definedName name="ListProduct">'Stock Unit'!$D$6:$D$1002</definedName>
    <definedName name="Location">Tab_Store[Store Name]</definedName>
    <definedName name="myData" localSheetId="13">Inventory!$A$1:INDEX(Inventory!$1:$655360,COUNTA(Inventory!$A:$A),9)</definedName>
    <definedName name="Orders" localSheetId="13">Inventory!$L$1:INDEX(Inventory!$1:$65536,COUNTA(Inventory!$L:$L),18)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D24" i="1"/>
  <c r="D25" i="1"/>
  <c r="D26" i="1"/>
  <c r="D27" i="1"/>
  <c r="D28" i="1"/>
  <c r="K17" i="9"/>
  <c r="K20" i="9"/>
  <c r="K21" i="9"/>
  <c r="K23" i="9"/>
  <c r="C11" i="20"/>
  <c r="C8" i="20"/>
  <c r="C9" i="20"/>
  <c r="C10" i="20"/>
  <c r="C5" i="20"/>
  <c r="C6" i="20"/>
  <c r="C7" i="20"/>
  <c r="C4" i="20"/>
  <c r="D6" i="1" l="1"/>
  <c r="K14" i="9" l="1"/>
  <c r="K11" i="9"/>
  <c r="K9" i="9"/>
  <c r="K13" i="9"/>
  <c r="D11" i="7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D24" i="7"/>
  <c r="D23" i="7"/>
  <c r="D22" i="7"/>
  <c r="G23" i="11" l="1"/>
  <c r="G24" i="11"/>
  <c r="F24" i="11" s="1"/>
  <c r="G22" i="11"/>
  <c r="H22" i="11" s="1"/>
  <c r="K22" i="11" s="1"/>
  <c r="G25" i="1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25" i="11"/>
  <c r="H25" i="11"/>
  <c r="I25" i="11"/>
  <c r="J25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I23" i="11"/>
  <c r="H23" i="11"/>
  <c r="J23" i="11"/>
  <c r="F23" i="11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D6" i="3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20" i="1"/>
  <c r="C21" i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6" i="2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7" i="3"/>
  <c r="D8" i="3"/>
  <c r="C8" i="3" s="1"/>
  <c r="D9" i="3"/>
  <c r="C9" i="3" s="1"/>
  <c r="D10" i="3"/>
  <c r="D11" i="3"/>
  <c r="C11" i="3" s="1"/>
  <c r="D12" i="3"/>
  <c r="C12" i="3" s="1"/>
  <c r="D13" i="3"/>
  <c r="C13" i="3" s="1"/>
  <c r="D14" i="3"/>
  <c r="C14" i="3" s="1"/>
  <c r="D15" i="3"/>
  <c r="C15" i="3" s="1"/>
  <c r="D16" i="3"/>
  <c r="C16" i="3" s="1"/>
  <c r="D17" i="3"/>
  <c r="C17" i="3" s="1"/>
  <c r="D18" i="3"/>
  <c r="C18" i="3" s="1"/>
  <c r="D19" i="3"/>
  <c r="C19" i="3" s="1"/>
  <c r="D20" i="3"/>
  <c r="C20" i="3" s="1"/>
  <c r="D21" i="3"/>
  <c r="C21" i="3" s="1"/>
  <c r="D22" i="3"/>
  <c r="C22" i="3" s="1"/>
  <c r="D23" i="3"/>
  <c r="C23" i="3" s="1"/>
  <c r="D24" i="3"/>
  <c r="C24" i="3" s="1"/>
  <c r="D25" i="3"/>
  <c r="C25" i="3" s="1"/>
  <c r="D26" i="3"/>
  <c r="C26" i="3" s="1"/>
  <c r="D27" i="3"/>
  <c r="C27" i="3" s="1"/>
  <c r="D28" i="3"/>
  <c r="C28" i="3" s="1"/>
  <c r="D29" i="3"/>
  <c r="C29" i="3" s="1"/>
  <c r="D30" i="3"/>
  <c r="C30" i="3" s="1"/>
  <c r="D31" i="3"/>
  <c r="C31" i="3" s="1"/>
  <c r="D32" i="3"/>
  <c r="C32" i="3" s="1"/>
  <c r="D33" i="3"/>
  <c r="C33" i="3" s="1"/>
  <c r="D34" i="3"/>
  <c r="C34" i="3" s="1"/>
  <c r="D35" i="3"/>
  <c r="C35" i="3" s="1"/>
  <c r="D36" i="3"/>
  <c r="C36" i="3" s="1"/>
  <c r="D37" i="3"/>
  <c r="C37" i="3" s="1"/>
  <c r="D38" i="3"/>
  <c r="C38" i="3" s="1"/>
  <c r="D39" i="3"/>
  <c r="C39" i="3" s="1"/>
  <c r="D40" i="3"/>
  <c r="C40" i="3" s="1"/>
  <c r="D41" i="3"/>
  <c r="C41" i="3" s="1"/>
  <c r="D42" i="3"/>
  <c r="C42" i="3" s="1"/>
  <c r="D43" i="3"/>
  <c r="C43" i="3" s="1"/>
  <c r="D44" i="3"/>
  <c r="C44" i="3" s="1"/>
  <c r="D45" i="3"/>
  <c r="C45" i="3" s="1"/>
  <c r="D46" i="3"/>
  <c r="C46" i="3" s="1"/>
  <c r="D47" i="3"/>
  <c r="C47" i="3" s="1"/>
  <c r="D48" i="3"/>
  <c r="C48" i="3" s="1"/>
  <c r="D49" i="3"/>
  <c r="C49" i="3" s="1"/>
  <c r="D50" i="3"/>
  <c r="C50" i="3" s="1"/>
  <c r="D51" i="3"/>
  <c r="C51" i="3" s="1"/>
  <c r="D52" i="3"/>
  <c r="C52" i="3" s="1"/>
  <c r="D53" i="3"/>
  <c r="C53" i="3" s="1"/>
  <c r="D54" i="3"/>
  <c r="C54" i="3" s="1"/>
  <c r="D55" i="3"/>
  <c r="C55" i="3" s="1"/>
  <c r="D56" i="3"/>
  <c r="C56" i="3" s="1"/>
  <c r="D57" i="3"/>
  <c r="C57" i="3" s="1"/>
  <c r="D58" i="3"/>
  <c r="C58" i="3" s="1"/>
  <c r="D59" i="3"/>
  <c r="C59" i="3" s="1"/>
  <c r="D60" i="3"/>
  <c r="C60" i="3" s="1"/>
  <c r="D61" i="3"/>
  <c r="C61" i="3" s="1"/>
  <c r="D62" i="3"/>
  <c r="C62" i="3" s="1"/>
  <c r="D63" i="3"/>
  <c r="C63" i="3" s="1"/>
  <c r="D64" i="3"/>
  <c r="C64" i="3" s="1"/>
  <c r="D65" i="3"/>
  <c r="C65" i="3" s="1"/>
  <c r="D66" i="3"/>
  <c r="C66" i="3" s="1"/>
  <c r="D67" i="3"/>
  <c r="C67" i="3" s="1"/>
  <c r="D68" i="3"/>
  <c r="C68" i="3" s="1"/>
  <c r="D69" i="3"/>
  <c r="C69" i="3" s="1"/>
  <c r="D70" i="3"/>
  <c r="C70" i="3" s="1"/>
  <c r="D71" i="3"/>
  <c r="C71" i="3" s="1"/>
  <c r="D72" i="3"/>
  <c r="C72" i="3" s="1"/>
  <c r="D73" i="3"/>
  <c r="C73" i="3" s="1"/>
  <c r="D74" i="3"/>
  <c r="C74" i="3" s="1"/>
  <c r="D75" i="3"/>
  <c r="C75" i="3" s="1"/>
  <c r="D76" i="3"/>
  <c r="C76" i="3" s="1"/>
  <c r="D77" i="3"/>
  <c r="C77" i="3" s="1"/>
  <c r="D78" i="3"/>
  <c r="C78" i="3" s="1"/>
  <c r="D79" i="3"/>
  <c r="C79" i="3" s="1"/>
  <c r="D80" i="3"/>
  <c r="C80" i="3" s="1"/>
  <c r="D81" i="3"/>
  <c r="C81" i="3" s="1"/>
  <c r="D82" i="3"/>
  <c r="C82" i="3" s="1"/>
  <c r="D83" i="3"/>
  <c r="C83" i="3" s="1"/>
  <c r="D84" i="3"/>
  <c r="C84" i="3" s="1"/>
  <c r="D85" i="3"/>
  <c r="C85" i="3" s="1"/>
  <c r="D86" i="3"/>
  <c r="C86" i="3" s="1"/>
  <c r="D87" i="3"/>
  <c r="C87" i="3" s="1"/>
  <c r="D88" i="3"/>
  <c r="C88" i="3" s="1"/>
  <c r="D89" i="3"/>
  <c r="C89" i="3" s="1"/>
  <c r="D90" i="3"/>
  <c r="C90" i="3" s="1"/>
  <c r="D91" i="3"/>
  <c r="C91" i="3" s="1"/>
  <c r="D92" i="3"/>
  <c r="C92" i="3" s="1"/>
  <c r="D93" i="3"/>
  <c r="C93" i="3" s="1"/>
  <c r="D94" i="3"/>
  <c r="C94" i="3" s="1"/>
  <c r="D95" i="3"/>
  <c r="C95" i="3" s="1"/>
  <c r="D96" i="3"/>
  <c r="C96" i="3" s="1"/>
  <c r="D97" i="3"/>
  <c r="C97" i="3" s="1"/>
  <c r="D98" i="3"/>
  <c r="C98" i="3" s="1"/>
  <c r="D99" i="3"/>
  <c r="C99" i="3" s="1"/>
  <c r="D100" i="3"/>
  <c r="C100" i="3" s="1"/>
  <c r="D101" i="3"/>
  <c r="C101" i="3" s="1"/>
  <c r="D102" i="3"/>
  <c r="C102" i="3" s="1"/>
  <c r="D103" i="3"/>
  <c r="C103" i="3" s="1"/>
  <c r="D104" i="3"/>
  <c r="C104" i="3" s="1"/>
  <c r="D105" i="3"/>
  <c r="C105" i="3" s="1"/>
  <c r="D106" i="3"/>
  <c r="C106" i="3" s="1"/>
  <c r="D107" i="3"/>
  <c r="C107" i="3" s="1"/>
  <c r="D108" i="3"/>
  <c r="C108" i="3" s="1"/>
  <c r="D109" i="3"/>
  <c r="C109" i="3" s="1"/>
  <c r="D110" i="3"/>
  <c r="C110" i="3" s="1"/>
  <c r="D111" i="3"/>
  <c r="C111" i="3" s="1"/>
  <c r="D112" i="3"/>
  <c r="C112" i="3" s="1"/>
  <c r="D113" i="3"/>
  <c r="C113" i="3" s="1"/>
  <c r="D114" i="3"/>
  <c r="C114" i="3" s="1"/>
  <c r="D115" i="3"/>
  <c r="C115" i="3" s="1"/>
  <c r="D116" i="3"/>
  <c r="C116" i="3" s="1"/>
  <c r="D117" i="3"/>
  <c r="C117" i="3" s="1"/>
  <c r="D118" i="3"/>
  <c r="C118" i="3" s="1"/>
  <c r="D119" i="3"/>
  <c r="C119" i="3" s="1"/>
  <c r="D120" i="3"/>
  <c r="C120" i="3" s="1"/>
  <c r="D121" i="3"/>
  <c r="C121" i="3" s="1"/>
  <c r="D122" i="3"/>
  <c r="C122" i="3" s="1"/>
  <c r="D123" i="3"/>
  <c r="C123" i="3" s="1"/>
  <c r="D124" i="3"/>
  <c r="C124" i="3" s="1"/>
  <c r="D125" i="3"/>
  <c r="C125" i="3" s="1"/>
  <c r="D126" i="3"/>
  <c r="C126" i="3" s="1"/>
  <c r="D127" i="3"/>
  <c r="C127" i="3" s="1"/>
  <c r="D128" i="3"/>
  <c r="C128" i="3" s="1"/>
  <c r="D129" i="3"/>
  <c r="C129" i="3" s="1"/>
  <c r="D130" i="3"/>
  <c r="C130" i="3" s="1"/>
  <c r="D131" i="3"/>
  <c r="C131" i="3" s="1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6" i="5"/>
  <c r="C6" i="1"/>
  <c r="B6" i="8" s="1"/>
  <c r="D17" i="4"/>
  <c r="C17" i="4" s="1"/>
  <c r="D18" i="4"/>
  <c r="C18" i="4" s="1"/>
  <c r="D19" i="4"/>
  <c r="C19" i="4" s="1"/>
  <c r="D20" i="4"/>
  <c r="C20" i="4" s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7" i="4"/>
  <c r="D8" i="4"/>
  <c r="D9" i="4"/>
  <c r="D10" i="4"/>
  <c r="D11" i="4"/>
  <c r="C11" i="4" s="1"/>
  <c r="D12" i="4"/>
  <c r="D13" i="4"/>
  <c r="C13" i="4" s="1"/>
  <c r="D14" i="4"/>
  <c r="C14" i="4" s="1"/>
  <c r="D15" i="4"/>
  <c r="C15" i="4" s="1"/>
  <c r="D16" i="4"/>
  <c r="D21" i="4"/>
  <c r="C21" i="4" s="1"/>
  <c r="D22" i="4"/>
  <c r="C22" i="4" s="1"/>
  <c r="D23" i="4"/>
  <c r="C23" i="4" s="1"/>
  <c r="D24" i="4"/>
  <c r="C24" i="4" s="1"/>
  <c r="D25" i="4"/>
  <c r="C25" i="4" s="1"/>
  <c r="D26" i="4"/>
  <c r="C26" i="4" s="1"/>
  <c r="D27" i="4"/>
  <c r="C27" i="4" s="1"/>
  <c r="D28" i="4"/>
  <c r="C28" i="4" s="1"/>
  <c r="D29" i="4"/>
  <c r="C29" i="4" s="1"/>
  <c r="D30" i="4"/>
  <c r="C30" i="4" s="1"/>
  <c r="D31" i="4"/>
  <c r="C31" i="4" s="1"/>
  <c r="D32" i="4"/>
  <c r="C32" i="4" s="1"/>
  <c r="D33" i="4"/>
  <c r="C33" i="4" s="1"/>
  <c r="D34" i="4"/>
  <c r="C34" i="4" s="1"/>
  <c r="D35" i="4"/>
  <c r="C35" i="4" s="1"/>
  <c r="D36" i="4"/>
  <c r="C36" i="4" s="1"/>
  <c r="D37" i="4"/>
  <c r="C37" i="4" s="1"/>
  <c r="D38" i="4"/>
  <c r="C38" i="4" s="1"/>
  <c r="D39" i="4"/>
  <c r="C39" i="4" s="1"/>
  <c r="D40" i="4"/>
  <c r="C40" i="4" s="1"/>
  <c r="D41" i="4"/>
  <c r="C41" i="4" s="1"/>
  <c r="D42" i="4"/>
  <c r="C42" i="4" s="1"/>
  <c r="D43" i="4"/>
  <c r="C43" i="4" s="1"/>
  <c r="D44" i="4"/>
  <c r="C44" i="4" s="1"/>
  <c r="D45" i="4"/>
  <c r="C45" i="4" s="1"/>
  <c r="D46" i="4"/>
  <c r="C46" i="4" s="1"/>
  <c r="D47" i="4"/>
  <c r="C47" i="4" s="1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6" i="4"/>
  <c r="C16" i="1"/>
  <c r="B16" i="8" s="1"/>
  <c r="C17" i="1"/>
  <c r="B17" i="8" s="1"/>
  <c r="C18" i="1"/>
  <c r="C19" i="1"/>
  <c r="C22" i="1"/>
  <c r="C23" i="1"/>
  <c r="C24" i="1"/>
  <c r="C25" i="1"/>
  <c r="C26" i="1"/>
  <c r="C27" i="1"/>
  <c r="C28" i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H40" i="1" s="1"/>
  <c r="C41" i="1"/>
  <c r="C42" i="1"/>
  <c r="D42" i="1" s="1"/>
  <c r="C43" i="1"/>
  <c r="D43" i="1" s="1"/>
  <c r="C44" i="1"/>
  <c r="D44" i="1" s="1"/>
  <c r="C45" i="1"/>
  <c r="D45" i="1" s="1"/>
  <c r="C46" i="1"/>
  <c r="D46" i="1" s="1"/>
  <c r="H46" i="1" s="1"/>
  <c r="C47" i="1"/>
  <c r="D47" i="1" s="1"/>
  <c r="C48" i="1"/>
  <c r="D48" i="1" s="1"/>
  <c r="C49" i="1"/>
  <c r="C50" i="1"/>
  <c r="C51" i="1"/>
  <c r="C52" i="1"/>
  <c r="D52" i="1" s="1"/>
  <c r="C53" i="1"/>
  <c r="D53" i="1" s="1"/>
  <c r="C54" i="1"/>
  <c r="C55" i="1"/>
  <c r="C56" i="1"/>
  <c r="C57" i="1"/>
  <c r="C58" i="1"/>
  <c r="D58" i="1" s="1"/>
  <c r="C59" i="1"/>
  <c r="D59" i="1" s="1"/>
  <c r="C60" i="1"/>
  <c r="C61" i="1"/>
  <c r="C62" i="1"/>
  <c r="C63" i="1"/>
  <c r="C64" i="1"/>
  <c r="D64" i="1" s="1"/>
  <c r="C65" i="1"/>
  <c r="D65" i="1" s="1"/>
  <c r="C66" i="1"/>
  <c r="C67" i="1"/>
  <c r="C68" i="1"/>
  <c r="C69" i="1"/>
  <c r="C70" i="1"/>
  <c r="D70" i="1" s="1"/>
  <c r="C71" i="1"/>
  <c r="D71" i="1" s="1"/>
  <c r="C72" i="1"/>
  <c r="C73" i="1"/>
  <c r="C74" i="1"/>
  <c r="C75" i="1"/>
  <c r="C76" i="1"/>
  <c r="D76" i="1" s="1"/>
  <c r="H76" i="1" s="1"/>
  <c r="C77" i="1"/>
  <c r="D77" i="1" s="1"/>
  <c r="H77" i="1" s="1"/>
  <c r="C78" i="1"/>
  <c r="C79" i="1"/>
  <c r="C80" i="1"/>
  <c r="C81" i="1"/>
  <c r="C82" i="1"/>
  <c r="D82" i="1" s="1"/>
  <c r="C83" i="1"/>
  <c r="D83" i="1" s="1"/>
  <c r="B83" i="11" s="1"/>
  <c r="C84" i="1"/>
  <c r="D84" i="1" s="1"/>
  <c r="C85" i="1"/>
  <c r="C86" i="1"/>
  <c r="C87" i="1"/>
  <c r="C88" i="1"/>
  <c r="D88" i="1" s="1"/>
  <c r="C89" i="1"/>
  <c r="D89" i="1" s="1"/>
  <c r="H89" i="1" s="1"/>
  <c r="C90" i="1"/>
  <c r="C91" i="1"/>
  <c r="C92" i="1"/>
  <c r="C93" i="1"/>
  <c r="C94" i="1"/>
  <c r="D94" i="1" s="1"/>
  <c r="B94" i="11" s="1"/>
  <c r="C95" i="1"/>
  <c r="D95" i="1" s="1"/>
  <c r="H95" i="1" s="1"/>
  <c r="C96" i="1"/>
  <c r="D96" i="1" s="1"/>
  <c r="H96" i="1" s="1"/>
  <c r="C97" i="1"/>
  <c r="C98" i="1"/>
  <c r="C99" i="1"/>
  <c r="C100" i="1"/>
  <c r="D100" i="1" s="1"/>
  <c r="H100" i="1" s="1"/>
  <c r="C101" i="1"/>
  <c r="D101" i="1" s="1"/>
  <c r="H101" i="1" s="1"/>
  <c r="C102" i="1"/>
  <c r="C103" i="1"/>
  <c r="C104" i="1"/>
  <c r="C105" i="1"/>
  <c r="C106" i="1"/>
  <c r="D106" i="1" s="1"/>
  <c r="H106" i="1" s="1"/>
  <c r="C107" i="1"/>
  <c r="D107" i="1" s="1"/>
  <c r="H107" i="1" s="1"/>
  <c r="C108" i="1"/>
  <c r="D108" i="1" s="1"/>
  <c r="H108" i="1" s="1"/>
  <c r="C109" i="1"/>
  <c r="C110" i="1"/>
  <c r="C111" i="1"/>
  <c r="C112" i="1"/>
  <c r="D112" i="1" s="1"/>
  <c r="H112" i="1" s="1"/>
  <c r="C113" i="1"/>
  <c r="D113" i="1" s="1"/>
  <c r="H113" i="1" s="1"/>
  <c r="C114" i="1"/>
  <c r="C115" i="1"/>
  <c r="C116" i="1"/>
  <c r="C117" i="1"/>
  <c r="C118" i="1"/>
  <c r="D118" i="1" s="1"/>
  <c r="H118" i="1" s="1"/>
  <c r="C119" i="1"/>
  <c r="D119" i="1" s="1"/>
  <c r="H119" i="1" s="1"/>
  <c r="C120" i="1"/>
  <c r="D120" i="1" s="1"/>
  <c r="H120" i="1" s="1"/>
  <c r="C121" i="1"/>
  <c r="C122" i="1"/>
  <c r="C123" i="1"/>
  <c r="C124" i="1"/>
  <c r="D124" i="1" s="1"/>
  <c r="H124" i="1" s="1"/>
  <c r="C125" i="1"/>
  <c r="D125" i="1" s="1"/>
  <c r="H125" i="1" s="1"/>
  <c r="C126" i="1"/>
  <c r="C127" i="1"/>
  <c r="C128" i="1"/>
  <c r="C129" i="1"/>
  <c r="C130" i="1"/>
  <c r="D130" i="1" s="1"/>
  <c r="H130" i="1" s="1"/>
  <c r="C131" i="1"/>
  <c r="D131" i="1" s="1"/>
  <c r="H131" i="1" s="1"/>
  <c r="C132" i="1"/>
  <c r="D132" i="1" s="1"/>
  <c r="H132" i="1" s="1"/>
  <c r="C133" i="1"/>
  <c r="C134" i="1"/>
  <c r="C135" i="1"/>
  <c r="C136" i="1"/>
  <c r="D136" i="1" s="1"/>
  <c r="H136" i="1" s="1"/>
  <c r="C137" i="1"/>
  <c r="D137" i="1" s="1"/>
  <c r="H137" i="1" s="1"/>
  <c r="C138" i="1"/>
  <c r="C139" i="1"/>
  <c r="C140" i="1"/>
  <c r="C141" i="1"/>
  <c r="C142" i="1"/>
  <c r="D142" i="1" s="1"/>
  <c r="H142" i="1" s="1"/>
  <c r="C143" i="1"/>
  <c r="D143" i="1" s="1"/>
  <c r="H143" i="1" s="1"/>
  <c r="C144" i="1"/>
  <c r="D144" i="1" s="1"/>
  <c r="H144" i="1" s="1"/>
  <c r="C145" i="1"/>
  <c r="C146" i="1"/>
  <c r="C147" i="1"/>
  <c r="C148" i="1"/>
  <c r="D148" i="1" s="1"/>
  <c r="H148" i="1" s="1"/>
  <c r="C149" i="1"/>
  <c r="D149" i="1" s="1"/>
  <c r="H149" i="1" s="1"/>
  <c r="C150" i="1"/>
  <c r="C151" i="1"/>
  <c r="C152" i="1"/>
  <c r="C153" i="1"/>
  <c r="C154" i="1"/>
  <c r="D154" i="1" s="1"/>
  <c r="H154" i="1" s="1"/>
  <c r="C155" i="1"/>
  <c r="D155" i="1" s="1"/>
  <c r="H155" i="1" s="1"/>
  <c r="C156" i="1"/>
  <c r="C157" i="1"/>
  <c r="H157" i="1" s="1"/>
  <c r="C158" i="1"/>
  <c r="H158" i="1" s="1"/>
  <c r="C159" i="1"/>
  <c r="H159" i="1" s="1"/>
  <c r="C160" i="1"/>
  <c r="C161" i="1"/>
  <c r="C162" i="1"/>
  <c r="H162" i="1" s="1"/>
  <c r="C163" i="1"/>
  <c r="H163" i="1" s="1"/>
  <c r="C164" i="1"/>
  <c r="H164" i="1" s="1"/>
  <c r="C165" i="1"/>
  <c r="H165" i="1" s="1"/>
  <c r="C166" i="1"/>
  <c r="C167" i="1"/>
  <c r="C168" i="1"/>
  <c r="C169" i="1"/>
  <c r="H169" i="1" s="1"/>
  <c r="C170" i="1"/>
  <c r="H170" i="1" s="1"/>
  <c r="C171" i="1"/>
  <c r="H171" i="1" s="1"/>
  <c r="C172" i="1"/>
  <c r="C173" i="1"/>
  <c r="C174" i="1"/>
  <c r="H174" i="1" s="1"/>
  <c r="C175" i="1"/>
  <c r="H175" i="1" s="1"/>
  <c r="C176" i="1"/>
  <c r="H176" i="1" s="1"/>
  <c r="C177" i="1"/>
  <c r="H177" i="1" s="1"/>
  <c r="C178" i="1"/>
  <c r="C179" i="1"/>
  <c r="C180" i="1"/>
  <c r="C181" i="1"/>
  <c r="H181" i="1" s="1"/>
  <c r="C182" i="1"/>
  <c r="H182" i="1" s="1"/>
  <c r="C183" i="1"/>
  <c r="H183" i="1" s="1"/>
  <c r="C184" i="1"/>
  <c r="C185" i="1"/>
  <c r="C186" i="1"/>
  <c r="H186" i="1" s="1"/>
  <c r="C187" i="1"/>
  <c r="H187" i="1" s="1"/>
  <c r="C188" i="1"/>
  <c r="H188" i="1" s="1"/>
  <c r="C189" i="1"/>
  <c r="H189" i="1" s="1"/>
  <c r="C190" i="1"/>
  <c r="C191" i="1"/>
  <c r="C192" i="1"/>
  <c r="C193" i="1"/>
  <c r="H193" i="1" s="1"/>
  <c r="C194" i="1"/>
  <c r="H194" i="1" s="1"/>
  <c r="C195" i="1"/>
  <c r="H195" i="1" s="1"/>
  <c r="C196" i="1"/>
  <c r="C197" i="1"/>
  <c r="C198" i="1"/>
  <c r="H198" i="1" s="1"/>
  <c r="C199" i="1"/>
  <c r="H199" i="1" s="1"/>
  <c r="C200" i="1"/>
  <c r="H200" i="1" s="1"/>
  <c r="C201" i="1"/>
  <c r="H201" i="1" s="1"/>
  <c r="C202" i="1"/>
  <c r="C203" i="1"/>
  <c r="C204" i="1"/>
  <c r="C205" i="1"/>
  <c r="H205" i="1" s="1"/>
  <c r="C206" i="1"/>
  <c r="H206" i="1" s="1"/>
  <c r="C207" i="1"/>
  <c r="H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15" i="1"/>
  <c r="H84" i="1"/>
  <c r="H94" i="1"/>
  <c r="H156" i="1"/>
  <c r="H160" i="1"/>
  <c r="H161" i="1"/>
  <c r="H166" i="1"/>
  <c r="H167" i="1"/>
  <c r="H168" i="1"/>
  <c r="H172" i="1"/>
  <c r="H173" i="1"/>
  <c r="H178" i="1"/>
  <c r="H179" i="1"/>
  <c r="H180" i="1"/>
  <c r="H184" i="1"/>
  <c r="H185" i="1"/>
  <c r="H190" i="1"/>
  <c r="H191" i="1"/>
  <c r="H192" i="1"/>
  <c r="H196" i="1"/>
  <c r="H197" i="1"/>
  <c r="H202" i="1"/>
  <c r="H203" i="1"/>
  <c r="H204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C7" i="1"/>
  <c r="B7" i="8" s="1"/>
  <c r="C8" i="1"/>
  <c r="B8" i="8" s="1"/>
  <c r="C9" i="1"/>
  <c r="B9" i="8" s="1"/>
  <c r="C10" i="1"/>
  <c r="B10" i="8" s="1"/>
  <c r="C11" i="1"/>
  <c r="B11" i="8" s="1"/>
  <c r="C12" i="1"/>
  <c r="B12" i="8" s="1"/>
  <c r="C13" i="1"/>
  <c r="C14" i="1"/>
  <c r="D8" i="1" l="1"/>
  <c r="K10" i="9" s="1"/>
  <c r="D10" i="1"/>
  <c r="I24" i="11"/>
  <c r="D7" i="7"/>
  <c r="D8" i="7"/>
  <c r="G8" i="11" s="1"/>
  <c r="D14" i="7"/>
  <c r="G14" i="11" s="1"/>
  <c r="D17" i="7"/>
  <c r="D16" i="7"/>
  <c r="G16" i="11" s="1"/>
  <c r="K6" i="9"/>
  <c r="J24" i="11"/>
  <c r="J22" i="11"/>
  <c r="H24" i="11"/>
  <c r="K24" i="11" s="1"/>
  <c r="I22" i="11"/>
  <c r="F22" i="11"/>
  <c r="D22" i="1"/>
  <c r="B22" i="11" s="1"/>
  <c r="D18" i="1"/>
  <c r="B28" i="11"/>
  <c r="D13" i="1"/>
  <c r="A13" i="11" s="1"/>
  <c r="H26" i="1"/>
  <c r="D14" i="1"/>
  <c r="A14" i="11" s="1"/>
  <c r="A58" i="11"/>
  <c r="B58" i="11"/>
  <c r="H58" i="1"/>
  <c r="B52" i="11"/>
  <c r="A52" i="11"/>
  <c r="H52" i="1"/>
  <c r="B39" i="11"/>
  <c r="A39" i="11"/>
  <c r="B71" i="11"/>
  <c r="A71" i="11"/>
  <c r="B59" i="11"/>
  <c r="A59" i="11"/>
  <c r="H59" i="1"/>
  <c r="B47" i="11"/>
  <c r="A47" i="11"/>
  <c r="H47" i="1"/>
  <c r="B35" i="11"/>
  <c r="A35" i="11"/>
  <c r="C8" i="8"/>
  <c r="A8" i="11"/>
  <c r="B8" i="11"/>
  <c r="G14" i="7"/>
  <c r="G17" i="7"/>
  <c r="D9" i="1"/>
  <c r="C10" i="3"/>
  <c r="A70" i="11"/>
  <c r="B70" i="11"/>
  <c r="A46" i="11"/>
  <c r="B46" i="11"/>
  <c r="B82" i="11"/>
  <c r="H82" i="1"/>
  <c r="C10" i="8"/>
  <c r="A10" i="11"/>
  <c r="B10" i="11"/>
  <c r="G16" i="7"/>
  <c r="A34" i="11"/>
  <c r="B34" i="11"/>
  <c r="H70" i="1"/>
  <c r="A85" i="11"/>
  <c r="D85" i="11" s="1"/>
  <c r="B88" i="11"/>
  <c r="B76" i="11"/>
  <c r="A76" i="11"/>
  <c r="B64" i="11"/>
  <c r="A64" i="11"/>
  <c r="H64" i="1"/>
  <c r="B40" i="11"/>
  <c r="A40" i="11"/>
  <c r="B38" i="11"/>
  <c r="A38" i="11"/>
  <c r="B37" i="11"/>
  <c r="A37" i="11"/>
  <c r="B25" i="11"/>
  <c r="A25" i="11"/>
  <c r="C9" i="4"/>
  <c r="D7" i="1"/>
  <c r="O85" i="11"/>
  <c r="K85" i="11"/>
  <c r="L85" i="11" s="1"/>
  <c r="N85" i="11"/>
  <c r="M85" i="11"/>
  <c r="A81" i="11"/>
  <c r="B84" i="11"/>
  <c r="B48" i="11"/>
  <c r="A48" i="11"/>
  <c r="B36" i="11"/>
  <c r="A36" i="11"/>
  <c r="C8" i="4"/>
  <c r="G17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C7" i="4"/>
  <c r="G11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C16" i="4"/>
  <c r="B21" i="8"/>
  <c r="D21" i="1"/>
  <c r="G21" i="7" s="1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D19" i="1"/>
  <c r="C19" i="8" s="1"/>
  <c r="A43" i="11"/>
  <c r="B43" i="11"/>
  <c r="C7" i="3"/>
  <c r="D20" i="1"/>
  <c r="C20" i="8" s="1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G9" i="7"/>
  <c r="A42" i="11"/>
  <c r="B42" i="11"/>
  <c r="A30" i="11"/>
  <c r="B30" i="11"/>
  <c r="C6" i="3"/>
  <c r="K133" i="11"/>
  <c r="L133" i="11" s="1"/>
  <c r="N133" i="11"/>
  <c r="M133" i="11"/>
  <c r="O133" i="11"/>
  <c r="O97" i="11"/>
  <c r="K97" i="11"/>
  <c r="L97" i="11" s="1"/>
  <c r="N97" i="11"/>
  <c r="M97" i="11"/>
  <c r="L22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18" i="11"/>
  <c r="B18" i="11"/>
  <c r="A86" i="11"/>
  <c r="D86" i="11" s="1"/>
  <c r="B89" i="11"/>
  <c r="B77" i="11"/>
  <c r="A77" i="11"/>
  <c r="B65" i="11"/>
  <c r="A65" i="11"/>
  <c r="B53" i="11"/>
  <c r="A53" i="11"/>
  <c r="C6" i="4"/>
  <c r="G7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C12" i="4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O25" i="11"/>
  <c r="M25" i="11"/>
  <c r="K25" i="11"/>
  <c r="L25" i="11" s="1"/>
  <c r="N25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N22" i="11"/>
  <c r="O22" i="11"/>
  <c r="M22" i="11"/>
  <c r="O45" i="11"/>
  <c r="N45" i="11"/>
  <c r="M45" i="11"/>
  <c r="K45" i="11"/>
  <c r="L45" i="11" s="1"/>
  <c r="K108" i="11"/>
  <c r="L108" i="11" s="1"/>
  <c r="O108" i="11"/>
  <c r="N108" i="11"/>
  <c r="M108" i="11"/>
  <c r="M24" i="11"/>
  <c r="O66" i="11"/>
  <c r="M66" i="11"/>
  <c r="K66" i="11"/>
  <c r="L66" i="11" s="1"/>
  <c r="N66" i="11"/>
  <c r="M96" i="11"/>
  <c r="K96" i="11"/>
  <c r="L96" i="11" s="1"/>
  <c r="N96" i="11"/>
  <c r="O96" i="11"/>
  <c r="B26" i="11"/>
  <c r="C10" i="4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K23" i="11"/>
  <c r="O23" i="11"/>
  <c r="N23" i="11"/>
  <c r="M23" i="11"/>
  <c r="H71" i="1"/>
  <c r="H36" i="1"/>
  <c r="D147" i="1"/>
  <c r="H147" i="1" s="1"/>
  <c r="D135" i="1"/>
  <c r="H135" i="1" s="1"/>
  <c r="D123" i="1"/>
  <c r="H123" i="1" s="1"/>
  <c r="D111" i="1"/>
  <c r="H111" i="1" s="1"/>
  <c r="D99" i="1"/>
  <c r="H99" i="1" s="1"/>
  <c r="D87" i="1"/>
  <c r="D75" i="1"/>
  <c r="D63" i="1"/>
  <c r="D51" i="1"/>
  <c r="D146" i="1"/>
  <c r="H146" i="1" s="1"/>
  <c r="D122" i="1"/>
  <c r="H122" i="1" s="1"/>
  <c r="D98" i="1"/>
  <c r="H98" i="1" s="1"/>
  <c r="D86" i="1"/>
  <c r="D74" i="1"/>
  <c r="H74" i="1" s="1"/>
  <c r="D62" i="1"/>
  <c r="D134" i="1"/>
  <c r="H134" i="1" s="1"/>
  <c r="D110" i="1"/>
  <c r="H110" i="1" s="1"/>
  <c r="D50" i="1"/>
  <c r="H65" i="1"/>
  <c r="D145" i="1"/>
  <c r="H145" i="1" s="1"/>
  <c r="D133" i="1"/>
  <c r="H133" i="1" s="1"/>
  <c r="D121" i="1"/>
  <c r="H121" i="1" s="1"/>
  <c r="D109" i="1"/>
  <c r="H109" i="1" s="1"/>
  <c r="D97" i="1"/>
  <c r="H97" i="1" s="1"/>
  <c r="D85" i="1"/>
  <c r="D73" i="1"/>
  <c r="D61" i="1"/>
  <c r="D49" i="1"/>
  <c r="H49" i="1" s="1"/>
  <c r="D72" i="1"/>
  <c r="D60" i="1"/>
  <c r="H60" i="1" s="1"/>
  <c r="H88" i="1"/>
  <c r="H53" i="1"/>
  <c r="D153" i="1"/>
  <c r="H153" i="1" s="1"/>
  <c r="D141" i="1"/>
  <c r="H141" i="1" s="1"/>
  <c r="D129" i="1"/>
  <c r="H129" i="1" s="1"/>
  <c r="D117" i="1"/>
  <c r="H117" i="1" s="1"/>
  <c r="D105" i="1"/>
  <c r="H105" i="1" s="1"/>
  <c r="D93" i="1"/>
  <c r="B93" i="11" s="1"/>
  <c r="D81" i="1"/>
  <c r="B81" i="11" s="1"/>
  <c r="D69" i="1"/>
  <c r="D57" i="1"/>
  <c r="D152" i="1"/>
  <c r="H152" i="1" s="1"/>
  <c r="D128" i="1"/>
  <c r="H128" i="1" s="1"/>
  <c r="D104" i="1"/>
  <c r="H104" i="1" s="1"/>
  <c r="D68" i="1"/>
  <c r="D140" i="1"/>
  <c r="H140" i="1" s="1"/>
  <c r="D116" i="1"/>
  <c r="H116" i="1" s="1"/>
  <c r="D92" i="1"/>
  <c r="D80" i="1"/>
  <c r="D56" i="1"/>
  <c r="H83" i="1"/>
  <c r="H48" i="1"/>
  <c r="D151" i="1"/>
  <c r="H151" i="1" s="1"/>
  <c r="D139" i="1"/>
  <c r="H139" i="1" s="1"/>
  <c r="D127" i="1"/>
  <c r="H127" i="1" s="1"/>
  <c r="D115" i="1"/>
  <c r="H115" i="1" s="1"/>
  <c r="D103" i="1"/>
  <c r="H103" i="1" s="1"/>
  <c r="D91" i="1"/>
  <c r="D79" i="1"/>
  <c r="H79" i="1" s="1"/>
  <c r="D67" i="1"/>
  <c r="D55" i="1"/>
  <c r="D150" i="1"/>
  <c r="H150" i="1" s="1"/>
  <c r="D138" i="1"/>
  <c r="H138" i="1" s="1"/>
  <c r="D126" i="1"/>
  <c r="H126" i="1" s="1"/>
  <c r="D114" i="1"/>
  <c r="H114" i="1" s="1"/>
  <c r="D102" i="1"/>
  <c r="H102" i="1" s="1"/>
  <c r="D90" i="1"/>
  <c r="D78" i="1"/>
  <c r="D66" i="1"/>
  <c r="D54" i="1"/>
  <c r="D41" i="1"/>
  <c r="H24" i="1"/>
  <c r="D23" i="1"/>
  <c r="H45" i="1"/>
  <c r="H44" i="1"/>
  <c r="H43" i="1"/>
  <c r="H42" i="1"/>
  <c r="B29" i="8"/>
  <c r="G20" i="7"/>
  <c r="H37" i="1"/>
  <c r="H38" i="1"/>
  <c r="H35" i="1"/>
  <c r="H34" i="1"/>
  <c r="H39" i="1"/>
  <c r="B28" i="8"/>
  <c r="H33" i="1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N31" i="8"/>
  <c r="E31" i="8"/>
  <c r="E19" i="8"/>
  <c r="E7" i="8"/>
  <c r="E14" i="8"/>
  <c r="H30" i="8"/>
  <c r="E30" i="8"/>
  <c r="E18" i="8"/>
  <c r="E6" i="8"/>
  <c r="E15" i="8"/>
  <c r="E29" i="8"/>
  <c r="E17" i="8"/>
  <c r="H32" i="8"/>
  <c r="E32" i="8"/>
  <c r="H31" i="8"/>
  <c r="L31" i="8"/>
  <c r="G31" i="8"/>
  <c r="S32" i="8"/>
  <c r="AJ31" i="8"/>
  <c r="AF31" i="8"/>
  <c r="AE31" i="8"/>
  <c r="Q31" i="8"/>
  <c r="AH31" i="8"/>
  <c r="J31" i="8"/>
  <c r="G30" i="8"/>
  <c r="AC31" i="8"/>
  <c r="AI30" i="8"/>
  <c r="Y31" i="8"/>
  <c r="AE30" i="8"/>
  <c r="X31" i="8"/>
  <c r="AB30" i="8"/>
  <c r="V31" i="8"/>
  <c r="Y30" i="8"/>
  <c r="T31" i="8"/>
  <c r="W30" i="8"/>
  <c r="AE32" i="8"/>
  <c r="S31" i="8"/>
  <c r="S30" i="8"/>
  <c r="P30" i="8"/>
  <c r="F30" i="8"/>
  <c r="G32" i="8"/>
  <c r="M31" i="8"/>
  <c r="M30" i="8"/>
  <c r="K30" i="8"/>
  <c r="AD32" i="8"/>
  <c r="R32" i="8"/>
  <c r="AD30" i="8"/>
  <c r="R30" i="8"/>
  <c r="AC32" i="8"/>
  <c r="Q32" i="8"/>
  <c r="AI31" i="8"/>
  <c r="W31" i="8"/>
  <c r="K31" i="8"/>
  <c r="AC30" i="8"/>
  <c r="Q30" i="8"/>
  <c r="AB32" i="8"/>
  <c r="P32" i="8"/>
  <c r="AA32" i="8"/>
  <c r="O32" i="8"/>
  <c r="AG31" i="8"/>
  <c r="U31" i="8"/>
  <c r="I31" i="8"/>
  <c r="AA30" i="8"/>
  <c r="O30" i="8"/>
  <c r="Z32" i="8"/>
  <c r="N32" i="8"/>
  <c r="Z30" i="8"/>
  <c r="N30" i="8"/>
  <c r="F32" i="8"/>
  <c r="F31" i="8"/>
  <c r="AJ32" i="8"/>
  <c r="X32" i="8"/>
  <c r="L32" i="8"/>
  <c r="AD31" i="8"/>
  <c r="R31" i="8"/>
  <c r="AJ30" i="8"/>
  <c r="X30" i="8"/>
  <c r="L30" i="8"/>
  <c r="AI32" i="8"/>
  <c r="W32" i="8"/>
  <c r="K32" i="8"/>
  <c r="AH32" i="8"/>
  <c r="V32" i="8"/>
  <c r="J32" i="8"/>
  <c r="AB31" i="8"/>
  <c r="P31" i="8"/>
  <c r="AH30" i="8"/>
  <c r="V30" i="8"/>
  <c r="J30" i="8"/>
  <c r="AG32" i="8"/>
  <c r="U32" i="8"/>
  <c r="I32" i="8"/>
  <c r="AA31" i="8"/>
  <c r="O31" i="8"/>
  <c r="AG30" i="8"/>
  <c r="U30" i="8"/>
  <c r="I30" i="8"/>
  <c r="Y32" i="8"/>
  <c r="M32" i="8"/>
  <c r="AF32" i="8"/>
  <c r="T32" i="8"/>
  <c r="Z31" i="8"/>
  <c r="AF30" i="8"/>
  <c r="T30" i="8"/>
  <c r="D17" i="1"/>
  <c r="D11" i="1"/>
  <c r="D16" i="1"/>
  <c r="B24" i="8"/>
  <c r="D15" i="1"/>
  <c r="B23" i="8"/>
  <c r="B22" i="8"/>
  <c r="D12" i="1"/>
  <c r="C14" i="8"/>
  <c r="C13" i="8"/>
  <c r="C18" i="8"/>
  <c r="H25" i="1"/>
  <c r="C25" i="8"/>
  <c r="C31" i="8"/>
  <c r="H31" i="1"/>
  <c r="H30" i="1"/>
  <c r="C30" i="8"/>
  <c r="B30" i="8"/>
  <c r="B18" i="8"/>
  <c r="H23" i="1"/>
  <c r="B27" i="8"/>
  <c r="B15" i="8"/>
  <c r="B26" i="8"/>
  <c r="B14" i="8"/>
  <c r="B25" i="8"/>
  <c r="B13" i="8"/>
  <c r="C23" i="8"/>
  <c r="C22" i="8"/>
  <c r="H18" i="1"/>
  <c r="B20" i="8"/>
  <c r="B31" i="8"/>
  <c r="B19" i="8"/>
  <c r="G8" i="7"/>
  <c r="H9" i="1"/>
  <c r="H8" i="1"/>
  <c r="H7" i="1"/>
  <c r="H13" i="1"/>
  <c r="H14" i="1"/>
  <c r="L24" i="11" l="1"/>
  <c r="A26" i="11"/>
  <c r="C26" i="8"/>
  <c r="K12" i="9"/>
  <c r="A22" i="11"/>
  <c r="O24" i="11"/>
  <c r="C27" i="8"/>
  <c r="G19" i="7"/>
  <c r="B13" i="11"/>
  <c r="N24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H93" i="1"/>
  <c r="G18" i="7"/>
  <c r="D18" i="7"/>
  <c r="G18" i="11" s="1"/>
  <c r="J18" i="11" s="1"/>
  <c r="A28" i="11"/>
  <c r="B14" i="11"/>
  <c r="I19" i="11"/>
  <c r="H19" i="11"/>
  <c r="K19" i="11" s="1"/>
  <c r="D6" i="7"/>
  <c r="G6" i="11" s="1"/>
  <c r="J6" i="11" s="1"/>
  <c r="H6" i="1"/>
  <c r="H27" i="1"/>
  <c r="B29" i="11"/>
  <c r="A29" i="11"/>
  <c r="A84" i="11"/>
  <c r="D84" i="11" s="1"/>
  <c r="B87" i="11"/>
  <c r="B23" i="11"/>
  <c r="A23" i="11"/>
  <c r="B72" i="11"/>
  <c r="A72" i="11"/>
  <c r="A83" i="11"/>
  <c r="D83" i="11" s="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H41" i="1"/>
  <c r="B61" i="11"/>
  <c r="A61" i="11"/>
  <c r="C31" i="11"/>
  <c r="D31" i="11"/>
  <c r="D37" i="11"/>
  <c r="C37" i="11"/>
  <c r="C71" i="11"/>
  <c r="D71" i="11"/>
  <c r="C15" i="8"/>
  <c r="B15" i="11"/>
  <c r="A15" i="11"/>
  <c r="A54" i="11"/>
  <c r="B54" i="11"/>
  <c r="A55" i="11"/>
  <c r="B55" i="11"/>
  <c r="H61" i="1"/>
  <c r="A21" i="11"/>
  <c r="B21" i="11"/>
  <c r="C81" i="11"/>
  <c r="D81" i="11"/>
  <c r="A66" i="11"/>
  <c r="B66" i="11"/>
  <c r="A67" i="11"/>
  <c r="B67" i="11"/>
  <c r="B73" i="11"/>
  <c r="A73" i="11"/>
  <c r="B50" i="11"/>
  <c r="A50" i="11"/>
  <c r="B51" i="11"/>
  <c r="A51" i="11"/>
  <c r="I7" i="11"/>
  <c r="J7" i="11"/>
  <c r="F7" i="11"/>
  <c r="C32" i="11"/>
  <c r="D32" i="11"/>
  <c r="C33" i="11"/>
  <c r="D33" i="11"/>
  <c r="D38" i="11"/>
  <c r="C38" i="11"/>
  <c r="D39" i="11"/>
  <c r="C39" i="11"/>
  <c r="A78" i="11"/>
  <c r="B78" i="11"/>
  <c r="A82" i="11"/>
  <c r="B85" i="11"/>
  <c r="B63" i="11"/>
  <c r="A63" i="11"/>
  <c r="F14" i="11"/>
  <c r="H14" i="11"/>
  <c r="K14" i="11" s="1"/>
  <c r="I14" i="11"/>
  <c r="J14" i="11"/>
  <c r="J17" i="11"/>
  <c r="F17" i="11"/>
  <c r="I17" i="11"/>
  <c r="H17" i="11"/>
  <c r="K17" i="11" s="1"/>
  <c r="D40" i="11"/>
  <c r="C40" i="11"/>
  <c r="C35" i="11"/>
  <c r="D35" i="11"/>
  <c r="A57" i="11"/>
  <c r="B57" i="11"/>
  <c r="H78" i="1"/>
  <c r="A80" i="11"/>
  <c r="B80" i="11"/>
  <c r="A69" i="11"/>
  <c r="B69" i="11"/>
  <c r="H85" i="1"/>
  <c r="H63" i="1"/>
  <c r="C17" i="8"/>
  <c r="B17" i="11"/>
  <c r="A17" i="11"/>
  <c r="A87" i="11"/>
  <c r="D87" i="11" s="1"/>
  <c r="B90" i="11"/>
  <c r="H91" i="1"/>
  <c r="B91" i="11"/>
  <c r="H80" i="1"/>
  <c r="H69" i="1"/>
  <c r="B75" i="11"/>
  <c r="A75" i="11"/>
  <c r="D53" i="11"/>
  <c r="C53" i="11"/>
  <c r="B6" i="11"/>
  <c r="A6" i="11"/>
  <c r="C6" i="8"/>
  <c r="G6" i="7"/>
  <c r="G11" i="7"/>
  <c r="H11" i="11" s="1"/>
  <c r="K11" i="11" s="1"/>
  <c r="I8" i="11"/>
  <c r="H8" i="11"/>
  <c r="K8" i="11" s="1"/>
  <c r="F8" i="11"/>
  <c r="J8" i="11"/>
  <c r="D52" i="11"/>
  <c r="C52" i="11"/>
  <c r="H11" i="1"/>
  <c r="B11" i="11"/>
  <c r="A11" i="11"/>
  <c r="A20" i="11"/>
  <c r="B20" i="11"/>
  <c r="C44" i="11"/>
  <c r="D44" i="11"/>
  <c r="F9" i="11"/>
  <c r="C46" i="11"/>
  <c r="D46" i="11"/>
  <c r="B60" i="11"/>
  <c r="A60" i="11"/>
  <c r="B74" i="11"/>
  <c r="A74" i="11"/>
  <c r="D65" i="11"/>
  <c r="C65" i="11"/>
  <c r="C30" i="11"/>
  <c r="D30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H92" i="1"/>
  <c r="B92" i="11"/>
  <c r="I11" i="11"/>
  <c r="F11" i="11"/>
  <c r="J11" i="11"/>
  <c r="C45" i="11"/>
  <c r="D45" i="11"/>
  <c r="C36" i="11"/>
  <c r="D36" i="11"/>
  <c r="J16" i="11"/>
  <c r="I16" i="11"/>
  <c r="H16" i="11"/>
  <c r="K16" i="11" s="1"/>
  <c r="F16" i="11"/>
  <c r="C34" i="11"/>
  <c r="D34" i="11"/>
  <c r="C70" i="11"/>
  <c r="D70" i="11"/>
  <c r="A56" i="11"/>
  <c r="B56" i="11"/>
  <c r="B62" i="11"/>
  <c r="A62" i="11"/>
  <c r="H20" i="1"/>
  <c r="B27" i="11"/>
  <c r="A27" i="11"/>
  <c r="D77" i="11"/>
  <c r="C77" i="11"/>
  <c r="C42" i="11"/>
  <c r="D42" i="11"/>
  <c r="C43" i="11"/>
  <c r="D43" i="11"/>
  <c r="D76" i="11"/>
  <c r="C76" i="11"/>
  <c r="C58" i="11"/>
  <c r="D58" i="11"/>
  <c r="L23" i="11"/>
  <c r="H90" i="1"/>
  <c r="H55" i="1"/>
  <c r="H72" i="1"/>
  <c r="H67" i="1"/>
  <c r="H57" i="1"/>
  <c r="H62" i="1"/>
  <c r="H51" i="1"/>
  <c r="H54" i="1"/>
  <c r="H68" i="1"/>
  <c r="H81" i="1"/>
  <c r="H73" i="1"/>
  <c r="H86" i="1"/>
  <c r="H75" i="1"/>
  <c r="H66" i="1"/>
  <c r="H56" i="1"/>
  <c r="H50" i="1"/>
  <c r="H87" i="1"/>
  <c r="H29" i="1"/>
  <c r="C29" i="8"/>
  <c r="H28" i="1"/>
  <c r="C28" i="8"/>
  <c r="H32" i="1"/>
  <c r="E33" i="8"/>
  <c r="AK30" i="8"/>
  <c r="AK32" i="8"/>
  <c r="AK31" i="8"/>
  <c r="H17" i="1"/>
  <c r="H16" i="1"/>
  <c r="G10" i="7"/>
  <c r="H12" i="1"/>
  <c r="C11" i="8"/>
  <c r="H15" i="1"/>
  <c r="H22" i="1"/>
  <c r="C21" i="8"/>
  <c r="H21" i="1"/>
  <c r="H19" i="1"/>
  <c r="H10" i="1"/>
  <c r="G7" i="7"/>
  <c r="H7" i="11" s="1"/>
  <c r="K7" i="11" s="1"/>
  <c r="H9" i="11" l="1"/>
  <c r="K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L9" i="11"/>
  <c r="L8" i="11"/>
  <c r="L17" i="11"/>
  <c r="H6" i="11"/>
  <c r="D62" i="11"/>
  <c r="C62" i="11"/>
  <c r="C57" i="11"/>
  <c r="D57" i="11"/>
  <c r="D49" i="11"/>
  <c r="C49" i="11"/>
  <c r="C72" i="11"/>
  <c r="D72" i="11"/>
  <c r="L11" i="11"/>
  <c r="C82" i="11"/>
  <c r="D82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L7" i="11"/>
  <c r="L14" i="11"/>
  <c r="D50" i="11"/>
  <c r="C50" i="11"/>
  <c r="L16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D41" i="11"/>
  <c r="C41" i="11"/>
  <c r="F10" i="8"/>
  <c r="F17" i="8"/>
  <c r="AA6" i="8"/>
  <c r="F19" i="8"/>
  <c r="F9" i="8"/>
  <c r="F20" i="8"/>
  <c r="J6" i="8"/>
  <c r="F14" i="8"/>
  <c r="L6" i="8"/>
  <c r="T6" i="8"/>
  <c r="W6" i="8"/>
  <c r="X6" i="8"/>
  <c r="F18" i="8"/>
  <c r="F25" i="8"/>
  <c r="Y6" i="8"/>
  <c r="AC6" i="8"/>
  <c r="AB6" i="8"/>
  <c r="F13" i="8"/>
  <c r="AD6" i="8"/>
  <c r="F16" i="8"/>
  <c r="M6" i="8"/>
  <c r="F8" i="8"/>
  <c r="V6" i="8"/>
  <c r="F21" i="8"/>
  <c r="H6" i="8"/>
  <c r="F26" i="8"/>
  <c r="F12" i="8"/>
  <c r="F11" i="8"/>
  <c r="Z6" i="8"/>
  <c r="F27" i="8"/>
  <c r="AH6" i="8"/>
  <c r="AE6" i="8"/>
  <c r="K6" i="8"/>
  <c r="N6" i="8"/>
  <c r="Q6" i="8"/>
  <c r="F7" i="8"/>
  <c r="F22" i="8"/>
  <c r="AG6" i="8"/>
  <c r="P6" i="8"/>
  <c r="F6" i="8"/>
  <c r="F23" i="8"/>
  <c r="R6" i="8"/>
  <c r="F29" i="8"/>
  <c r="F24" i="8"/>
  <c r="AI6" i="8"/>
  <c r="G6" i="8"/>
  <c r="O6" i="8"/>
  <c r="S6" i="8"/>
  <c r="AF6" i="8"/>
  <c r="I6" i="8"/>
  <c r="F15" i="8"/>
  <c r="AJ6" i="8"/>
  <c r="V29" i="8"/>
  <c r="O7" i="8"/>
  <c r="W23" i="8"/>
  <c r="Q23" i="8"/>
  <c r="AH21" i="8"/>
  <c r="AC8" i="8"/>
  <c r="AB23" i="8"/>
  <c r="J18" i="8"/>
  <c r="J12" i="8"/>
  <c r="W7" i="8"/>
  <c r="I29" i="8"/>
  <c r="AJ24" i="8"/>
  <c r="O8" i="8"/>
  <c r="N8" i="8"/>
  <c r="I8" i="8"/>
  <c r="N21" i="8"/>
  <c r="R14" i="8"/>
  <c r="H23" i="8"/>
  <c r="Y21" i="8"/>
  <c r="G13" i="8"/>
  <c r="H26" i="8"/>
  <c r="W10" i="8"/>
  <c r="U15" i="8"/>
  <c r="AE7" i="8"/>
  <c r="H14" i="8"/>
  <c r="Y9" i="8"/>
  <c r="AH13" i="8"/>
  <c r="W13" i="8"/>
  <c r="J16" i="8"/>
  <c r="Z21" i="8"/>
  <c r="AE28" i="8"/>
  <c r="AJ11" i="8"/>
  <c r="Q14" i="8"/>
  <c r="N12" i="8"/>
  <c r="J25" i="8"/>
  <c r="Q24" i="8"/>
  <c r="G19" i="8"/>
  <c r="H29" i="8"/>
  <c r="R7" i="8"/>
  <c r="V21" i="8"/>
  <c r="AE22" i="8"/>
  <c r="M9" i="8"/>
  <c r="P23" i="8"/>
  <c r="Q11" i="8"/>
  <c r="Y22" i="8"/>
  <c r="J17" i="8"/>
  <c r="AI26" i="8"/>
  <c r="L17" i="8"/>
  <c r="Y8" i="8"/>
  <c r="T28" i="8"/>
  <c r="R24" i="8"/>
  <c r="AJ16" i="8"/>
  <c r="T17" i="8"/>
  <c r="W15" i="8"/>
  <c r="G12" i="8"/>
  <c r="K14" i="8"/>
  <c r="AA20" i="8"/>
  <c r="Y7" i="8"/>
  <c r="AG16" i="8"/>
  <c r="S19" i="8"/>
  <c r="AJ21" i="8"/>
  <c r="U13" i="8"/>
  <c r="V28" i="8"/>
  <c r="T10" i="8"/>
  <c r="N27" i="8"/>
  <c r="G28" i="8"/>
  <c r="AD16" i="8"/>
  <c r="S7" i="8"/>
  <c r="J28" i="8"/>
  <c r="Z9" i="8"/>
  <c r="N11" i="8"/>
  <c r="S26" i="8"/>
  <c r="K29" i="8"/>
  <c r="AF27" i="8"/>
  <c r="AH22" i="8"/>
  <c r="M8" i="8"/>
  <c r="X17" i="8"/>
  <c r="S25" i="8"/>
  <c r="K19" i="8"/>
  <c r="H13" i="8"/>
  <c r="N7" i="8"/>
  <c r="L8" i="8"/>
  <c r="S24" i="8"/>
  <c r="Q28" i="8"/>
  <c r="N22" i="8"/>
  <c r="V12" i="8"/>
  <c r="AB21" i="8"/>
  <c r="H24" i="8"/>
  <c r="Z28" i="8"/>
  <c r="Q18" i="8"/>
  <c r="H17" i="8"/>
  <c r="O9" i="8"/>
  <c r="V19" i="8"/>
  <c r="G26" i="8"/>
  <c r="U25" i="8"/>
  <c r="P7" i="8"/>
  <c r="AF28" i="8"/>
  <c r="J10" i="8"/>
  <c r="AB26" i="8"/>
  <c r="L19" i="8"/>
  <c r="O20" i="8"/>
  <c r="AH20" i="8"/>
  <c r="AB14" i="8"/>
  <c r="W28" i="8"/>
  <c r="V11" i="8"/>
  <c r="AD21" i="8"/>
  <c r="AA13" i="8"/>
  <c r="P16" i="8"/>
  <c r="W14" i="8"/>
  <c r="S27" i="8"/>
  <c r="J11" i="8"/>
  <c r="R21" i="8"/>
  <c r="I18" i="8"/>
  <c r="AF18" i="8"/>
  <c r="K20" i="8"/>
  <c r="Z14" i="8"/>
  <c r="AF10" i="8"/>
  <c r="AI24" i="8"/>
  <c r="AE10" i="8"/>
  <c r="R12" i="8"/>
  <c r="T29" i="8"/>
  <c r="AH18" i="8"/>
  <c r="AG8" i="8"/>
  <c r="R22" i="8"/>
  <c r="M19" i="8"/>
  <c r="W29" i="8"/>
  <c r="T23" i="8"/>
  <c r="V18" i="8"/>
  <c r="U8" i="8"/>
  <c r="AJ27" i="8"/>
  <c r="M15" i="8"/>
  <c r="W19" i="8"/>
  <c r="N18" i="8"/>
  <c r="P13" i="8"/>
  <c r="AA19" i="8"/>
  <c r="H10" i="8"/>
  <c r="G24" i="8"/>
  <c r="W9" i="8"/>
  <c r="X28" i="8"/>
  <c r="O25" i="8"/>
  <c r="Y18" i="8"/>
  <c r="M24" i="8"/>
  <c r="AC18" i="8"/>
  <c r="Z12" i="8"/>
  <c r="AA29" i="8"/>
  <c r="I10" i="8"/>
  <c r="M29" i="8"/>
  <c r="M20" i="8"/>
  <c r="AG7" i="8"/>
  <c r="AD27" i="8"/>
  <c r="AH19" i="8"/>
  <c r="K12" i="8"/>
  <c r="X19" i="8"/>
  <c r="AG15" i="8"/>
  <c r="J26" i="8"/>
  <c r="Z13" i="8"/>
  <c r="J21" i="8"/>
  <c r="Q19" i="8"/>
  <c r="X9" i="8"/>
  <c r="AA10" i="8"/>
  <c r="P11" i="8"/>
  <c r="AC19" i="8"/>
  <c r="J27" i="8"/>
  <c r="U29" i="8"/>
  <c r="L12" i="8"/>
  <c r="G23" i="8"/>
  <c r="V7" i="8"/>
  <c r="AJ25" i="8"/>
  <c r="AB22" i="8"/>
  <c r="O24" i="8"/>
  <c r="AD11" i="8"/>
  <c r="M7" i="8"/>
  <c r="S10" i="8"/>
  <c r="AF29" i="8"/>
  <c r="U23" i="8"/>
  <c r="X16" i="8"/>
  <c r="J7" i="8"/>
  <c r="AE20" i="8"/>
  <c r="AI29" i="8"/>
  <c r="AF23" i="8"/>
  <c r="J14" i="8"/>
  <c r="AF8" i="8"/>
  <c r="N13" i="8"/>
  <c r="AE27" i="8"/>
  <c r="AC24" i="8"/>
  <c r="Z18" i="8"/>
  <c r="AB13" i="8"/>
  <c r="O29" i="8"/>
  <c r="S14" i="8"/>
  <c r="M25" i="8"/>
  <c r="AC14" i="8"/>
  <c r="T13" i="8"/>
  <c r="Z7" i="8"/>
  <c r="T22" i="8"/>
  <c r="Q8" i="8"/>
  <c r="AE18" i="8"/>
  <c r="J23" i="8"/>
  <c r="AD23" i="8"/>
  <c r="U20" i="8"/>
  <c r="W11" i="8"/>
  <c r="AB12" i="8"/>
  <c r="AI13" i="8"/>
  <c r="L28" i="8"/>
  <c r="AG24" i="8"/>
  <c r="S23" i="8"/>
  <c r="K26" i="8"/>
  <c r="P10" i="8"/>
  <c r="V15" i="8"/>
  <c r="AJ22" i="8"/>
  <c r="K21" i="8"/>
  <c r="K28" i="8"/>
  <c r="AD14" i="8"/>
  <c r="I11" i="8"/>
  <c r="P21" i="8"/>
  <c r="Y11" i="8"/>
  <c r="S16" i="8"/>
  <c r="AH27" i="8"/>
  <c r="K27" i="8"/>
  <c r="AF25" i="8"/>
  <c r="AE17" i="8"/>
  <c r="M28" i="8"/>
  <c r="AJ29" i="8"/>
  <c r="AA24" i="8"/>
  <c r="AC17" i="8"/>
  <c r="Z27" i="8"/>
  <c r="I19" i="8"/>
  <c r="AI14" i="8"/>
  <c r="X29" i="8"/>
  <c r="U19" i="8"/>
  <c r="Q17" i="8"/>
  <c r="S17" i="8"/>
  <c r="J24" i="8"/>
  <c r="O17" i="8"/>
  <c r="AF9" i="8"/>
  <c r="O13" i="8"/>
  <c r="I9" i="8"/>
  <c r="AB28" i="8"/>
  <c r="K25" i="8"/>
  <c r="H19" i="8"/>
  <c r="P9" i="8"/>
  <c r="G29" i="8"/>
  <c r="H22" i="8"/>
  <c r="S9" i="8"/>
  <c r="AI19" i="8"/>
  <c r="AF13" i="8"/>
  <c r="R8" i="8"/>
  <c r="Z29" i="8"/>
  <c r="Q21" i="8"/>
  <c r="G20" i="8"/>
  <c r="AI9" i="8"/>
  <c r="AD7" i="8"/>
  <c r="AC11" i="8"/>
  <c r="I14" i="8"/>
  <c r="W22" i="8"/>
  <c r="S12" i="8"/>
  <c r="J29" i="8"/>
  <c r="AJ18" i="8"/>
  <c r="AA15" i="8"/>
  <c r="H15" i="8"/>
  <c r="AE21" i="8"/>
  <c r="K9" i="8"/>
  <c r="R23" i="8"/>
  <c r="I20" i="8"/>
  <c r="S8" i="8"/>
  <c r="AC25" i="8"/>
  <c r="M27" i="8"/>
  <c r="P20" i="8"/>
  <c r="L18" i="8"/>
  <c r="Z24" i="8"/>
  <c r="AC9" i="8"/>
  <c r="AJ9" i="8"/>
  <c r="N26" i="8"/>
  <c r="V16" i="8"/>
  <c r="AI8" i="8"/>
  <c r="H12" i="8"/>
  <c r="V9" i="8"/>
  <c r="Q22" i="8"/>
  <c r="H21" i="8"/>
  <c r="AG18" i="8"/>
  <c r="Y25" i="8"/>
  <c r="X23" i="8"/>
  <c r="AG19" i="8"/>
  <c r="P25" i="8"/>
  <c r="T20" i="8"/>
  <c r="L16" i="8"/>
  <c r="W18" i="8"/>
  <c r="L23" i="8"/>
  <c r="AA14" i="8"/>
  <c r="AB29" i="8"/>
  <c r="AF26" i="8"/>
  <c r="V14" i="8"/>
  <c r="R25" i="8"/>
  <c r="AA18" i="8"/>
  <c r="W25" i="8"/>
  <c r="Y10" i="8"/>
  <c r="Q20" i="8"/>
  <c r="N14" i="8"/>
  <c r="AC15" i="8"/>
  <c r="H8" i="8"/>
  <c r="H20" i="8"/>
  <c r="AE16" i="8"/>
  <c r="K15" i="8"/>
  <c r="H9" i="8"/>
  <c r="Q15" i="8"/>
  <c r="AA23" i="8"/>
  <c r="Y19" i="8"/>
  <c r="Y13" i="8"/>
  <c r="V23" i="8"/>
  <c r="AJ28" i="8"/>
  <c r="AA25" i="8"/>
  <c r="AE19" i="8"/>
  <c r="M13" i="8"/>
  <c r="Y17" i="8"/>
  <c r="AA26" i="8"/>
  <c r="L14" i="8"/>
  <c r="AG10" i="8"/>
  <c r="V24" i="8"/>
  <c r="W12" i="8"/>
  <c r="AH15" i="8"/>
  <c r="X18" i="8"/>
  <c r="O15" i="8"/>
  <c r="Y12" i="8"/>
  <c r="AE24" i="8"/>
  <c r="G9" i="8"/>
  <c r="AG25" i="8"/>
  <c r="R13" i="8"/>
  <c r="T26" i="8"/>
  <c r="G21" i="8"/>
  <c r="W27" i="8"/>
  <c r="T21" i="8"/>
  <c r="AB11" i="8"/>
  <c r="AE8" i="8"/>
  <c r="N9" i="8"/>
  <c r="J19" i="8"/>
  <c r="W17" i="8"/>
  <c r="N16" i="8"/>
  <c r="W8" i="8"/>
  <c r="K16" i="8"/>
  <c r="AD18" i="8"/>
  <c r="I15" i="8"/>
  <c r="V20" i="8"/>
  <c r="T12" i="8"/>
  <c r="U22" i="8"/>
  <c r="S22" i="8"/>
  <c r="R18" i="8"/>
  <c r="AG9" i="8"/>
  <c r="AH24" i="8"/>
  <c r="Z11" i="8"/>
  <c r="T18" i="8"/>
  <c r="AC20" i="8"/>
  <c r="X20" i="8"/>
  <c r="T9" i="8"/>
  <c r="AF20" i="8"/>
  <c r="Q10" i="8"/>
  <c r="I26" i="8"/>
  <c r="AF12" i="8"/>
  <c r="P28" i="8"/>
  <c r="AI7" i="8"/>
  <c r="AH29" i="8"/>
  <c r="L24" i="8"/>
  <c r="AG20" i="8"/>
  <c r="AI22" i="8"/>
  <c r="J9" i="8"/>
  <c r="R26" i="8"/>
  <c r="AG21" i="8"/>
  <c r="R9" i="8"/>
  <c r="AE29" i="8"/>
  <c r="Q13" i="8"/>
  <c r="S28" i="8"/>
  <c r="AB20" i="8"/>
  <c r="AD13" i="8"/>
  <c r="U10" i="8"/>
  <c r="AI25" i="8"/>
  <c r="M16" i="8"/>
  <c r="AD24" i="8"/>
  <c r="I21" i="8"/>
  <c r="AB7" i="8"/>
  <c r="N25" i="8"/>
  <c r="AD28" i="8"/>
  <c r="AC22" i="8"/>
  <c r="Z16" i="8"/>
  <c r="AG28" i="8"/>
  <c r="U28" i="8"/>
  <c r="N19" i="8"/>
  <c r="P26" i="8"/>
  <c r="AC12" i="8"/>
  <c r="T11" i="8"/>
  <c r="G14" i="8"/>
  <c r="K18" i="8"/>
  <c r="AJ13" i="8"/>
  <c r="O10" i="8"/>
  <c r="AB15" i="8"/>
  <c r="P8" i="8"/>
  <c r="AE9" i="8"/>
  <c r="W24" i="8"/>
  <c r="X13" i="8"/>
  <c r="H25" i="8"/>
  <c r="J20" i="8"/>
  <c r="AH8" i="8"/>
  <c r="Z8" i="8"/>
  <c r="N24" i="8"/>
  <c r="AJ10" i="8"/>
  <c r="U26" i="8"/>
  <c r="Y24" i="8"/>
  <c r="M26" i="8"/>
  <c r="R29" i="8"/>
  <c r="V27" i="8"/>
  <c r="AC10" i="8"/>
  <c r="AD29" i="8"/>
  <c r="AA21" i="8"/>
  <c r="P18" i="8"/>
  <c r="AE26" i="8"/>
  <c r="H7" i="8"/>
  <c r="AH23" i="8"/>
  <c r="X24" i="8"/>
  <c r="O21" i="8"/>
  <c r="P24" i="8"/>
  <c r="G10" i="8"/>
  <c r="AD26" i="8"/>
  <c r="I27" i="8"/>
  <c r="R19" i="8"/>
  <c r="I16" i="8"/>
  <c r="Q16" i="8"/>
  <c r="G27" i="8"/>
  <c r="AD20" i="8"/>
  <c r="I17" i="8"/>
  <c r="AC27" i="8"/>
  <c r="N23" i="8"/>
  <c r="Y28" i="8"/>
  <c r="M10" i="8"/>
  <c r="O26" i="8"/>
  <c r="AD8" i="8"/>
  <c r="S29" i="8"/>
  <c r="O14" i="8"/>
  <c r="AI28" i="8"/>
  <c r="AJ19" i="8"/>
  <c r="O16" i="8"/>
  <c r="AC23" i="8"/>
  <c r="S20" i="8"/>
  <c r="AB10" i="8"/>
  <c r="AI17" i="8"/>
  <c r="AF11" i="8"/>
  <c r="I24" i="8"/>
  <c r="AB8" i="8"/>
  <c r="AB24" i="8"/>
  <c r="K7" i="8"/>
  <c r="I7" i="8"/>
  <c r="AJ26" i="8"/>
  <c r="S11" i="8"/>
  <c r="W26" i="8"/>
  <c r="L9" i="8"/>
  <c r="T25" i="8"/>
  <c r="AH10" i="8"/>
  <c r="K8" i="8"/>
  <c r="Y16" i="8"/>
  <c r="AE15" i="8"/>
  <c r="AH7" i="8"/>
  <c r="N20" i="8"/>
  <c r="P15" i="8"/>
  <c r="AC13" i="8"/>
  <c r="P19" i="8"/>
  <c r="U12" i="8"/>
  <c r="AG13" i="8"/>
  <c r="AE25" i="8"/>
  <c r="U16" i="8"/>
  <c r="O22" i="8"/>
  <c r="O11" i="8"/>
  <c r="U9" i="8"/>
  <c r="AF7" i="8"/>
  <c r="AJ15" i="8"/>
  <c r="O12" i="8"/>
  <c r="P27" i="8"/>
  <c r="Z15" i="8"/>
  <c r="H18" i="8"/>
  <c r="L25" i="8"/>
  <c r="U21" i="8"/>
  <c r="Q27" i="8"/>
  <c r="AF22" i="8"/>
  <c r="R11" i="8"/>
  <c r="AI10" i="8"/>
  <c r="L15" i="8"/>
  <c r="U11" i="8"/>
  <c r="V26" i="8"/>
  <c r="AD12" i="8"/>
  <c r="Y20" i="8"/>
  <c r="K13" i="8"/>
  <c r="R27" i="8"/>
  <c r="O19" i="8"/>
  <c r="M14" i="8"/>
  <c r="V13" i="8"/>
  <c r="AB16" i="8"/>
  <c r="AH11" i="8"/>
  <c r="L22" i="8"/>
  <c r="O27" i="8"/>
  <c r="Q7" i="8"/>
  <c r="AC26" i="8"/>
  <c r="Z20" i="8"/>
  <c r="G17" i="8"/>
  <c r="G8" i="8"/>
  <c r="H28" i="8"/>
  <c r="V25" i="8"/>
  <c r="Q26" i="8"/>
  <c r="T15" i="8"/>
  <c r="V10" i="8"/>
  <c r="P22" i="8"/>
  <c r="AG26" i="8"/>
  <c r="AI15" i="8"/>
  <c r="G11" i="8"/>
  <c r="U27" i="8"/>
  <c r="G16" i="8"/>
  <c r="X14" i="8"/>
  <c r="N17" i="8"/>
  <c r="W16" i="8"/>
  <c r="AG27" i="8"/>
  <c r="L20" i="8"/>
  <c r="I12" i="8"/>
  <c r="AF19" i="8"/>
  <c r="M12" i="8"/>
  <c r="K10" i="8"/>
  <c r="AA22" i="8"/>
  <c r="AJ14" i="8"/>
  <c r="AA11" i="8"/>
  <c r="AA28" i="8"/>
  <c r="Y26" i="8"/>
  <c r="R16" i="8"/>
  <c r="U17" i="8"/>
  <c r="AD9" i="8"/>
  <c r="Z23" i="8"/>
  <c r="P29" i="8"/>
  <c r="P14" i="8"/>
  <c r="L11" i="8"/>
  <c r="T27" i="8"/>
  <c r="V22" i="8"/>
  <c r="X7" i="8"/>
  <c r="AH25" i="8"/>
  <c r="R20" i="8"/>
  <c r="AA16" i="8"/>
  <c r="AH26" i="8"/>
  <c r="AF14" i="8"/>
  <c r="AA17" i="8"/>
  <c r="M22" i="8"/>
  <c r="R10" i="8"/>
  <c r="M17" i="8"/>
  <c r="AH16" i="8"/>
  <c r="Y29" i="8"/>
  <c r="Y27" i="8"/>
  <c r="U7" i="8"/>
  <c r="X22" i="8"/>
  <c r="U14" i="8"/>
  <c r="AJ17" i="8"/>
  <c r="AH9" i="8"/>
  <c r="G25" i="8"/>
  <c r="V17" i="8"/>
  <c r="R17" i="8"/>
  <c r="V8" i="8"/>
  <c r="AI16" i="8"/>
  <c r="AI21" i="8"/>
  <c r="AF15" i="8"/>
  <c r="I28" i="8"/>
  <c r="Z19" i="8"/>
  <c r="M23" i="8"/>
  <c r="S15" i="8"/>
  <c r="W21" i="8"/>
  <c r="Z10" i="8"/>
  <c r="AI20" i="8"/>
  <c r="AD22" i="8"/>
  <c r="AB9" i="8"/>
  <c r="T19" i="8"/>
  <c r="AD15" i="8"/>
  <c r="L29" i="8"/>
  <c r="AD19" i="8"/>
  <c r="L21" i="8"/>
  <c r="P12" i="8"/>
  <c r="I23" i="8"/>
  <c r="R15" i="8"/>
  <c r="AF24" i="8"/>
  <c r="AB19" i="8"/>
  <c r="N28" i="8"/>
  <c r="L27" i="8"/>
  <c r="AG17" i="8"/>
  <c r="L10" i="8"/>
  <c r="T24" i="8"/>
  <c r="AJ20" i="8"/>
  <c r="T7" i="8"/>
  <c r="X11" i="8"/>
  <c r="AA12" i="8"/>
  <c r="Q29" i="8"/>
  <c r="T16" i="8"/>
  <c r="M11" i="8"/>
  <c r="X25" i="8"/>
  <c r="AC28" i="8"/>
  <c r="Z22" i="8"/>
  <c r="AB17" i="8"/>
  <c r="AJ8" i="8"/>
  <c r="S18" i="8"/>
  <c r="X15" i="8"/>
  <c r="AG11" i="8"/>
  <c r="J22" i="8"/>
  <c r="X8" i="8"/>
  <c r="Y14" i="8"/>
  <c r="AI12" i="8"/>
  <c r="AI27" i="8"/>
  <c r="Z26" i="8"/>
  <c r="U24" i="8"/>
  <c r="AC21" i="8"/>
  <c r="Q9" i="8"/>
  <c r="J15" i="8"/>
  <c r="AD17" i="8"/>
  <c r="AA9" i="8"/>
  <c r="AG23" i="8"/>
  <c r="S21" i="8"/>
  <c r="R28" i="8"/>
  <c r="AG29" i="8"/>
  <c r="X12" i="8"/>
  <c r="K22" i="8"/>
  <c r="Q25" i="8"/>
  <c r="K17" i="8"/>
  <c r="H11" i="8"/>
  <c r="O23" i="8"/>
  <c r="AA8" i="8"/>
  <c r="H16" i="8"/>
  <c r="K24" i="8"/>
  <c r="AC16" i="8"/>
  <c r="AE11" i="8"/>
  <c r="AA27" i="8"/>
  <c r="N10" i="8"/>
  <c r="J8" i="8"/>
  <c r="K11" i="8"/>
  <c r="AH28" i="8"/>
  <c r="AE14" i="8"/>
  <c r="L13" i="8"/>
  <c r="S13" i="8"/>
  <c r="AA7" i="8"/>
  <c r="X27" i="8"/>
  <c r="O18" i="8"/>
  <c r="X10" i="8"/>
  <c r="Z17" i="8"/>
  <c r="AG12" i="8"/>
  <c r="M18" i="8"/>
  <c r="X21" i="8"/>
  <c r="I13" i="8"/>
  <c r="AC29" i="8"/>
  <c r="AF16" i="8"/>
  <c r="W20" i="8"/>
  <c r="G18" i="8"/>
  <c r="Y23" i="8"/>
  <c r="G7" i="8"/>
  <c r="AB27" i="8"/>
  <c r="AJ7" i="8"/>
  <c r="AE12" i="8"/>
  <c r="Y15" i="8"/>
  <c r="AI23" i="8"/>
  <c r="AF17" i="8"/>
  <c r="AH12" i="8"/>
  <c r="AG14" i="8"/>
  <c r="J13" i="8"/>
  <c r="AD10" i="8"/>
  <c r="H27" i="8"/>
  <c r="P17" i="8"/>
  <c r="T8" i="8"/>
  <c r="AB18" i="8"/>
  <c r="G22" i="8"/>
  <c r="K23" i="8"/>
  <c r="AF21" i="8"/>
  <c r="T14" i="8"/>
  <c r="M21" i="8"/>
  <c r="AI18" i="8"/>
  <c r="AH17" i="8"/>
  <c r="AJ12" i="8"/>
  <c r="AE23" i="8"/>
  <c r="AD25" i="8"/>
  <c r="AC7" i="8"/>
  <c r="AJ23" i="8"/>
  <c r="I25" i="8"/>
  <c r="AB25" i="8"/>
  <c r="N15" i="8"/>
  <c r="G15" i="8"/>
  <c r="Q12" i="8"/>
  <c r="X26" i="8"/>
  <c r="U18" i="8"/>
  <c r="N29" i="8"/>
  <c r="L7" i="8"/>
  <c r="AE13" i="8"/>
  <c r="AI11" i="8"/>
  <c r="L26" i="8"/>
  <c r="AG22" i="8"/>
  <c r="AH14" i="8"/>
  <c r="I22" i="8"/>
  <c r="O28" i="8"/>
  <c r="Z25" i="8"/>
  <c r="U6" i="8"/>
  <c r="F28" i="8"/>
  <c r="L15" i="11" l="1"/>
  <c r="L20" i="11"/>
  <c r="L13" i="11"/>
  <c r="D20" i="11"/>
  <c r="C26" i="11"/>
  <c r="D19" i="11"/>
  <c r="C18" i="11"/>
  <c r="L21" i="11"/>
  <c r="D25" i="11"/>
  <c r="C7" i="11"/>
  <c r="D24" i="11"/>
  <c r="C20" i="11"/>
  <c r="C24" i="11"/>
  <c r="C15" i="11"/>
  <c r="D17" i="11"/>
  <c r="D12" i="11"/>
  <c r="C17" i="11"/>
  <c r="D23" i="11"/>
  <c r="C23" i="11"/>
  <c r="D7" i="11"/>
  <c r="M7" i="11"/>
  <c r="N7" i="11" s="1"/>
  <c r="O7" i="11" s="1"/>
  <c r="M20" i="11"/>
  <c r="N20" i="11" s="1"/>
  <c r="M19" i="11"/>
  <c r="N19" i="11" s="1"/>
  <c r="M21" i="11"/>
  <c r="N21" i="11" s="1"/>
  <c r="C13" i="11"/>
  <c r="C11" i="11"/>
  <c r="C12" i="11"/>
  <c r="C28" i="11"/>
  <c r="D11" i="11"/>
  <c r="C25" i="11"/>
  <c r="D18" i="11"/>
  <c r="D13" i="11"/>
  <c r="D15" i="11"/>
  <c r="C19" i="11"/>
  <c r="D28" i="11"/>
  <c r="D26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M13" i="11"/>
  <c r="N13" i="11" s="1"/>
  <c r="I33" i="8"/>
  <c r="M18" i="11"/>
  <c r="N18" i="11" s="1"/>
  <c r="Q12" i="9"/>
  <c r="Q8" i="9"/>
  <c r="Q10" i="9"/>
  <c r="M16" i="11"/>
  <c r="N16" i="11" s="1"/>
  <c r="Q6" i="9"/>
  <c r="K5" i="9"/>
  <c r="M9" i="11"/>
  <c r="N9" i="11" s="1"/>
  <c r="M6" i="11"/>
  <c r="N6" i="11" s="1"/>
  <c r="Q7" i="9"/>
  <c r="M10" i="11"/>
  <c r="N10" i="11" s="1"/>
  <c r="Q15" i="9"/>
  <c r="Q11" i="9" l="1"/>
  <c r="Q14" i="9"/>
  <c r="Q9" i="9"/>
  <c r="Q13" i="9"/>
  <c r="M8" i="11"/>
  <c r="N8" i="11" s="1"/>
  <c r="O8" i="11" s="1"/>
  <c r="O21" i="11"/>
  <c r="D21" i="11" s="1"/>
  <c r="C21" i="11"/>
  <c r="O19" i="11"/>
  <c r="D27" i="11" s="1"/>
  <c r="C27" i="11"/>
  <c r="O20" i="11"/>
  <c r="D29" i="11" s="1"/>
  <c r="C29" i="11"/>
  <c r="AK33" i="8"/>
  <c r="M11" i="11"/>
  <c r="N11" i="11" s="1"/>
  <c r="O11" i="11" s="1"/>
  <c r="O10" i="11"/>
  <c r="O6" i="11"/>
  <c r="M12" i="11"/>
  <c r="N12" i="11" s="1"/>
  <c r="O12" i="11" s="1"/>
  <c r="C14" i="11"/>
  <c r="O9" i="11"/>
  <c r="D14" i="11" s="1"/>
  <c r="C22" i="11"/>
  <c r="O18" i="11"/>
  <c r="D22" i="11" s="1"/>
  <c r="O13" i="11"/>
  <c r="D16" i="11" s="1"/>
  <c r="C16" i="11"/>
  <c r="C10" i="11"/>
  <c r="O16" i="11"/>
  <c r="D10" i="11" s="1"/>
  <c r="M14" i="11" l="1"/>
  <c r="N14" i="11" s="1"/>
  <c r="D6" i="11"/>
  <c r="C6" i="11"/>
  <c r="M15" i="11"/>
  <c r="N15" i="11" s="1"/>
  <c r="O15" i="11" s="1"/>
  <c r="D9" i="11" s="1"/>
  <c r="P15" i="9" l="1"/>
  <c r="O15" i="9" s="1"/>
  <c r="P9" i="9"/>
  <c r="O9" i="9" s="1"/>
  <c r="P13" i="9"/>
  <c r="O13" i="9" s="1"/>
  <c r="P11" i="9"/>
  <c r="O11" i="9" s="1"/>
  <c r="M17" i="11"/>
  <c r="N17" i="11" s="1"/>
  <c r="O17" i="11" s="1"/>
  <c r="P5" i="9"/>
  <c r="O5" i="9" s="1"/>
  <c r="O14" i="11"/>
  <c r="C9" i="11"/>
  <c r="C8" i="11" l="1"/>
  <c r="D8" i="11"/>
  <c r="P7" i="9"/>
  <c r="O7" i="9" s="1"/>
  <c r="P6" i="9"/>
  <c r="O6" i="9" s="1"/>
  <c r="P8" i="9" l="1"/>
  <c r="O8" i="9" s="1"/>
  <c r="P14" i="9"/>
  <c r="O14" i="9" s="1"/>
  <c r="P10" i="9"/>
  <c r="O10" i="9" s="1"/>
  <c r="P12" i="9"/>
  <c r="O12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<sst xmlns="http://schemas.openxmlformats.org/spreadsheetml/2006/main" count="1952" uniqueCount="291">
  <si>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</si>
  <si>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</si>
  <si>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</si>
  <si>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</si>
  <si>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</si>
  <si>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</si>
  <si>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</si>
  <si>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</si>
  <si>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</si>
  <si>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</si>
  <si>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</si>
  <si>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</si>
  <si>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</si>
  <si>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</si>
  <si>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</si>
  <si>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</si>
  <si>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</si>
  <si>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</si>
  <si>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</si>
  <si>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</si>
  <si>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</si>
  <si>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</si>
  <si>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</si>
  <si>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</si>
  <si>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</si>
  <si>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</si>
  <si>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</si>
  <si>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</si>
  <si>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</si>
  <si>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</si>
  <si>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</si>
  <si>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</si>
  <si>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</si>
  <si>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</si>
  <si>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</si>
  <si>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</si>
  <si>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</si>
  <si>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</si>
  <si>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</si>
  <si>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</si>
  <si>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</si>
  <si>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</si>
  <si>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</si>
  <si>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</si>
  <si>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</si>
  <si>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</si>
  <si>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</si>
  <si>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Employee ID</t>
  </si>
  <si>
    <t>Name</t>
  </si>
  <si>
    <t>Supplier ID</t>
  </si>
  <si>
    <t>Supplier Name</t>
  </si>
  <si>
    <t>Bambang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</si>
  <si>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</si>
  <si>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</si>
  <si>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</si>
  <si>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</si>
  <si>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</si>
  <si>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</si>
  <si>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</si>
  <si>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</si>
  <si>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</si>
  <si>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</si>
  <si>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Tempat Lahir</t>
  </si>
  <si>
    <t>Tanggal Lahir</t>
  </si>
  <si>
    <t>Bandung</t>
  </si>
  <si>
    <t>Status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</si>
  <si>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</si>
  <si>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</si>
  <si>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</si>
  <si>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</si>
  <si>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</si>
  <si>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</si>
  <si>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</si>
  <si>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</si>
  <si>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</si>
  <si>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</si>
  <si>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</si>
  <si>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</si>
  <si>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</si>
  <si>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</si>
  <si>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</si>
  <si>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</si>
  <si>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</si>
  <si>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</si>
  <si>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</si>
  <si>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</si>
  <si>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</si>
  <si>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</si>
  <si>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</si>
  <si>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Store Name</t>
  </si>
  <si>
    <t>JL. Asia</t>
  </si>
  <si>
    <t>JL. Pasific</t>
  </si>
  <si>
    <t>JL. Australia</t>
  </si>
  <si>
    <t>JL. Amerika</t>
  </si>
  <si>
    <t xml:space="preserve">Rian </t>
  </si>
  <si>
    <t>Pematangsiantar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</si>
  <si>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</si>
  <si>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</si>
  <si>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</si>
  <si>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</si>
  <si>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</si>
  <si>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</si>
  <si>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</si>
  <si>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</si>
  <si>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</si>
  <si>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</si>
  <si>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</si>
  <si>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</si>
  <si>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</si>
  <si>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</si>
  <si>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</si>
  <si>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</si>
  <si>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</si>
  <si>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</si>
  <si>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</si>
  <si>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</si>
  <si>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</si>
  <si>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</si>
  <si>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</si>
  <si>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</si>
  <si>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</si>
  <si>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</si>
  <si>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</si>
  <si>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</si>
  <si>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</si>
  <si>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</si>
  <si>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</si>
  <si>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</si>
  <si>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</si>
  <si>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</si>
  <si>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</si>
  <si>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</si>
  <si>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</si>
  <si>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</si>
  <si>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</si>
  <si>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</si>
  <si>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</si>
  <si>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</si>
  <si>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</si>
  <si>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</si>
  <si>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</si>
  <si>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</si>
  <si>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</si>
  <si>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</si>
  <si>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Karcher</t>
  </si>
  <si>
    <t>KC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</si>
  <si>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</si>
  <si>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</si>
  <si>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</si>
  <si>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</si>
  <si>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</si>
  <si>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</si>
  <si>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</si>
  <si>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</si>
  <si>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</si>
  <si>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</si>
  <si>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</si>
  <si>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</si>
  <si>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</si>
  <si>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</si>
  <si>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</si>
  <si>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</si>
  <si>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</si>
  <si>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</si>
  <si>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</si>
  <si>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</si>
  <si>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</si>
  <si>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</si>
  <si>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</si>
  <si>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</si>
  <si>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</si>
  <si>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</si>
  <si>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</si>
  <si>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</si>
  <si>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</si>
  <si>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</si>
  <si>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</si>
  <si>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</si>
  <si>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</si>
  <si>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</si>
  <si>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</si>
  <si>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</si>
  <si>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</si>
  <si>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</si>
  <si>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</si>
  <si>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</si>
  <si>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</si>
  <si>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</si>
  <si>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</si>
  <si>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</si>
  <si>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</si>
  <si>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</si>
  <si>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</si>
  <si>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</si>
  <si>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</si>
  <si>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</si>
  <si>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</si>
  <si>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</si>
  <si>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</si>
  <si>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</si>
  <si>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</si>
  <si>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</si>
  <si>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</si>
  <si>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</si>
  <si>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</si>
  <si>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</si>
  <si>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</si>
  <si>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</si>
  <si>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</si>
  <si>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</si>
  <si>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</si>
  <si>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</si>
  <si>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</si>
  <si>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</si>
  <si>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</si>
  <si>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</si>
  <si>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</si>
  <si>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</si>
  <si>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</si>
  <si>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</si>
  <si>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</si>
  <si>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</si>
  <si>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</si>
  <si>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</si>
  <si>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</si>
  <si>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</si>
  <si>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</si>
  <si>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</si>
  <si>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</si>
  <si>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</si>
  <si>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</si>
  <si>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</si>
  <si>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</si>
  <si>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</si>
  <si>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</si>
  <si>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</si>
  <si>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</si>
  <si>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</si>
  <si>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</si>
  <si>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Name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</si>
  <si>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</si>
  <si>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</si>
  <si>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</si>
  <si>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</si>
  <si>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</si>
  <si>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</si>
  <si>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</si>
  <si>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</si>
  <si>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</si>
  <si>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</si>
  <si>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ID Department</t>
  </si>
  <si>
    <t>Name Department</t>
  </si>
  <si>
    <t>Technology</t>
  </si>
  <si>
    <t>01</t>
  </si>
  <si>
    <t>Human Resource</t>
  </si>
  <si>
    <t>02</t>
  </si>
  <si>
    <t>03</t>
  </si>
  <si>
    <t>04</t>
  </si>
  <si>
    <t>Administration</t>
  </si>
  <si>
    <t>05</t>
  </si>
  <si>
    <t>Finance</t>
  </si>
  <si>
    <t>06</t>
  </si>
  <si>
    <t>07</t>
  </si>
  <si>
    <t>Location Work</t>
  </si>
  <si>
    <t>20062419</t>
  </si>
  <si>
    <t>LG-0001-18</t>
  </si>
  <si>
    <t>Insufficient Stock</t>
  </si>
  <si>
    <t>Address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</si>
  <si>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</si>
  <si>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</si>
  <si>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</si>
  <si>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</si>
  <si>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</si>
  <si>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</si>
  <si>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</si>
  <si>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</si>
  <si>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ID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</si>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</sst>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2" fillId="9" borderId="0" xfId="0" applyFont="1" applyFill="1"/>
    <xf numFmtId="0" fontId="12" fillId="9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22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12" totalsRowShown="0">
  <autoFilter ref="C5:F12" xr:uid="{3881AC1B-89D3-494C-BBBB-2DBD71EA5CE7}"/>
  <tableColumns count="4">
    <tableColumn id="1" xr3:uid="{8A900978-F0EA-44A6-BC74-622B863B9A5E}" name="Number" dataDxfId="121"/>
    <tableColumn id="2" xr3:uid="{A1F6E2F7-55CE-49DC-89A4-60CABFC2A0E0}" name="ID" dataDxfId="120">
      <calculatedColumnFormula>IF(E6="","","STR-"&amp; TEXT(IF(COUNTIF(E6:E$11,E6)&gt;=1,MATCH(E6,$E$11:$E$999,0),COUNTA(UNIQUE(E6:E$11))),"101"))</calculatedColumnFormula>
    </tableColumn>
    <tableColumn id="3" xr3:uid="{753AC797-9591-44D6-93A4-9FF98051D550}" name="Store Name"/>
    <tableColumn id="4" xr3:uid="{FADEA858-25FD-4FCD-B8C2-6848AEA7F899}" name="Addr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19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18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/>
    <tableColumn id="8" xr3:uid="{62E3CE07-A2E1-4B94-8282-D9EF5DCAD63A}" name="Unit" dataDxfId="117"/>
    <tableColumn id="9" xr3:uid="{5C0089BD-2D37-4FB6-B698-880B55BEF805}" name="Price" dataDxfId="116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33" totalsRowShown="0">
  <autoFilter ref="C4:M33" xr:uid="{FF3E3B7F-F618-45AB-B16C-929D469B4AA8}"/>
  <tableColumns count="11">
    <tableColumn id="1" xr3:uid="{3B0A7C3C-FD28-4FD3-9AB1-63AD108CFC44}" name="No" dataDxfId="115"/>
    <tableColumn id="8" xr3:uid="{DB86C54E-FF21-4550-8A61-B362A41611B5}" name="Date" dataDxfId="114">
      <calculatedColumnFormula>IF(Table1[[#This Row],[Item/Product]]="","",NOW())</calculatedColumnFormula>
    </tableColumn>
    <tableColumn id="11" xr3:uid="{2266C20F-8F7F-41CE-BE84-2DD19391D9A5}" name="Invoice" dataDxfId="113">
      <calculatedColumnFormula>IF(Table1[[#This Row],[Date]]="","",TEXT(Table1[[#This Row],[Date]],"ddmmyy"))</calculatedColumnFormula>
    </tableColumn>
    <tableColumn id="7" xr3:uid="{91A27F7C-D7BD-4A06-B6DC-AE824D51E51C}" name="SKU" dataDxfId="112"/>
    <tableColumn id="2" xr3:uid="{24967E35-8678-420A-937F-4B25A4119767}" name="Item/Product"/>
    <tableColumn id="3" xr3:uid="{C2BFDD8F-353C-4B00-A3DF-4557D4145FF8}" name="Qty" dataDxfId="111"/>
    <tableColumn id="4" xr3:uid="{1C348E90-959D-4B40-8871-22CB7201F173}" name="Unit" dataDxfId="110">
      <calculatedColumnFormula>IF(Table1[[#This Row],[Qty]:[Qty]]="","","Pcs")</calculatedColumnFormula>
    </tableColumn>
    <tableColumn id="5" xr3:uid="{A569B9F1-C42F-4B26-90A2-0664A4F19EE5}" name="Price" dataDxfId="109"/>
    <tableColumn id="10" xr3:uid="{1BD0986B-374B-40A7-A7AB-1F4AEFD09DBB}" name="Total" dataDxfId="108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106" dataDxfId="104" headerRowBorderDxfId="105" tableBorderDxfId="103" totalsRowBorderDxfId="102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101" totalsRowDxfId="100">
      <calculatedColumnFormula>'Product Item'!C:C</calculatedColumnFormula>
    </tableColumn>
    <tableColumn id="34" xr3:uid="{2FB659B1-3033-41C6-94AC-D23D69073889}" name="SKU" dataDxfId="99" totalsRowDxfId="98">
      <calculatedColumnFormula>IF('Product Item'!D:D="","",'Product Item'!D:D)</calculatedColumnFormula>
    </tableColumn>
    <tableColumn id="2" xr3:uid="{0753135B-1475-4A43-9B47-27961A04DDE4}" name="Product _x000a_Name" dataDxfId="97">
      <calculatedColumnFormula>IF('Product Item'!G:G="","",'Product Item'!G:G)</calculatedColumnFormula>
    </tableColumn>
    <tableColumn id="35" xr3:uid="{5D8CFDE7-F1E9-41DC-8F84-00B3E0F8DF1C}" name="First Stock" totalsRowFunction="sum" dataDxfId="96" totalsRowDxfId="95">
      <calculatedColumnFormula>IF(TabStock[[#This Row],[Product 
Name]]="","",0)</calculatedColumnFormula>
    </tableColumn>
    <tableColumn id="3" xr3:uid="{1B5C8641-6FC0-47AE-8D30-657F5ACF54A8}" name="1" totalsRowFunction="sum" dataDxfId="94" totalsRowDxfId="93">
      <calculatedColumnFormula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calculatedColumnFormula>
    </tableColumn>
    <tableColumn id="4" xr3:uid="{77EF9E5F-1953-41AE-9B51-DBE3A438A735}" name="2" totalsRowFunction="sum" dataDxfId="92" totalsRowDxfId="91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calculatedColumnFormula>
    </tableColumn>
    <tableColumn id="5" xr3:uid="{46F16AC4-1FE9-47FD-940D-E693667AA809}" name="3" totalsRowFunction="sum" dataDxfId="90" totalsRowDxfId="89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calculatedColumnFormula>
    </tableColumn>
    <tableColumn id="6" xr3:uid="{71431D05-CA60-450C-AEFC-B7E9D86A3E64}" name="4" totalsRowFunction="sum" dataDxfId="88" totalsRowDxfId="87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calculatedColumnFormula>
    </tableColumn>
    <tableColumn id="7" xr3:uid="{EB11D480-B4F5-4BE5-A09E-38A662D797F6}" name="5" totalsRowFunction="sum" dataDxfId="86" totalsRowDxfId="85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calculatedColumnFormula>
    </tableColumn>
    <tableColumn id="8" xr3:uid="{7584E031-5DD1-49A2-B1B0-9FA2753B8F14}" name="6" totalsRowFunction="sum" dataDxfId="84" totalsRowDxfId="83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calculatedColumnFormula>
    </tableColumn>
    <tableColumn id="9" xr3:uid="{A311B96B-5F08-4EBA-9768-4BB96B1E36AA}" name="7" totalsRowFunction="sum" dataDxfId="82" totalsRowDxfId="81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calculatedColumnFormula>
    </tableColumn>
    <tableColumn id="10" xr3:uid="{E5DBD3B2-CA4B-411B-B26F-E4B6A289792E}" name="8" totalsRowFunction="sum" dataDxfId="80" totalsRowDxfId="79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calculatedColumnFormula>
    </tableColumn>
    <tableColumn id="11" xr3:uid="{5234465F-3911-4789-9BD0-8A4FE9013573}" name="9" totalsRowFunction="sum" dataDxfId="78" totalsRowDxfId="77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calculatedColumnFormula>
    </tableColumn>
    <tableColumn id="12" xr3:uid="{1C837B0F-5F63-4B1E-8ECC-3578208353EE}" name="10" totalsRowFunction="sum" dataDxfId="76" totalsRowDxfId="75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calculatedColumnFormula>
    </tableColumn>
    <tableColumn id="13" xr3:uid="{4155986C-012F-4326-B754-725301E5CB17}" name="11" totalsRowFunction="sum" dataDxfId="74" totalsRowDxfId="73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calculatedColumnFormula>
    </tableColumn>
    <tableColumn id="14" xr3:uid="{83A7EF40-587D-430F-9414-48400DAAC10E}" name="12" totalsRowFunction="sum" dataDxfId="72" totalsRowDxfId="71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calculatedColumnFormula>
    </tableColumn>
    <tableColumn id="15" xr3:uid="{F505A934-1A06-46F0-BDC1-E8B1E25CC002}" name="13" totalsRowFunction="sum" dataDxfId="70" totalsRowDxfId="69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calculatedColumnFormula>
    </tableColumn>
    <tableColumn id="16" xr3:uid="{64597954-E554-4B3D-8F87-C4FBAE2A38B6}" name="14" totalsRowFunction="sum" dataDxfId="68" totalsRowDxfId="67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calculatedColumnFormula>
    </tableColumn>
    <tableColumn id="17" xr3:uid="{7A4D039C-7B7C-46B7-B01B-EB89AE8909F8}" name="15" totalsRowFunction="sum" dataDxfId="66" totalsRowDxfId="65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calculatedColumnFormula>
    </tableColumn>
    <tableColumn id="18" xr3:uid="{00E548AA-28E3-4D8F-ADA6-06FBC7506497}" name="16" totalsRowFunction="sum" dataDxfId="64" totalsRowDxfId="63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calculatedColumnFormula>
    </tableColumn>
    <tableColumn id="19" xr3:uid="{F371D1EE-34C4-4CB9-BD0D-AB6E64998C6D}" name="17" totalsRowFunction="sum" dataDxfId="62" totalsRowDxfId="61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calculatedColumnFormula>
    </tableColumn>
    <tableColumn id="20" xr3:uid="{E2100286-B7FA-45D0-B893-7680D02A7C1F}" name="18" totalsRowFunction="sum" dataDxfId="60" totalsRowDxfId="59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calculatedColumnFormula>
    </tableColumn>
    <tableColumn id="21" xr3:uid="{37FD1C48-A801-4EC6-A00B-2EC660354200}" name="19" totalsRowFunction="sum" dataDxfId="58" totalsRowDxfId="57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calculatedColumnFormula>
    </tableColumn>
    <tableColumn id="22" xr3:uid="{16623995-B0D8-49F9-B7ED-7E1BF335F541}" name="20" totalsRowFunction="sum" dataDxfId="56" totalsRowDxfId="55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calculatedColumnFormula>
    </tableColumn>
    <tableColumn id="23" xr3:uid="{64928C54-1652-462B-9D2D-417593392DEB}" name="21" totalsRowFunction="sum" dataDxfId="54" totalsRowDxfId="53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calculatedColumnFormula>
    </tableColumn>
    <tableColumn id="24" xr3:uid="{98747C40-174B-4333-A6B3-E12AD76DA725}" name="22" totalsRowFunction="sum" dataDxfId="52" totalsRowDxfId="51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calculatedColumnFormula>
    </tableColumn>
    <tableColumn id="25" xr3:uid="{B0B09630-C589-477F-BFA0-B925EC60574E}" name="23" totalsRowFunction="sum" dataDxfId="50" totalsRowDxfId="49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calculatedColumnFormula>
    </tableColumn>
    <tableColumn id="26" xr3:uid="{CAD65216-AFD1-432C-851B-225B1A3D41A0}" name="24" totalsRowFunction="sum" dataDxfId="48" totalsRowDxfId="47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calculatedColumnFormula>
    </tableColumn>
    <tableColumn id="27" xr3:uid="{88371F68-49E3-4206-85AC-2570AD96DD70}" name="25" totalsRowFunction="sum" dataDxfId="46" totalsRowDxfId="45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calculatedColumnFormula>
    </tableColumn>
    <tableColumn id="28" xr3:uid="{B8857D74-CF2E-4A53-8941-3D117D99E1FE}" name="26" totalsRowFunction="sum" dataDxfId="44" totalsRowDxfId="43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calculatedColumnFormula>
    </tableColumn>
    <tableColumn id="29" xr3:uid="{C95CF288-AECB-4B80-BA5F-F6D76FE06E0D}" name="27" totalsRowFunction="sum" dataDxfId="42" totalsRowDxfId="41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calculatedColumnFormula>
    </tableColumn>
    <tableColumn id="30" xr3:uid="{4AEEE1B7-55D5-4E4B-889D-8FA017F23E94}" name="28" totalsRowFunction="sum" dataDxfId="40" totalsRowDxfId="39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calculatedColumnFormula>
    </tableColumn>
    <tableColumn id="31" xr3:uid="{9153F637-9953-4413-A036-07C709CF0741}" name="29" totalsRowFunction="sum" dataDxfId="38" totalsRowDxfId="37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calculatedColumnFormula>
    </tableColumn>
    <tableColumn id="32" xr3:uid="{1EEF939B-D093-4546-A968-6CF706FB40B6}" name="30" totalsRowFunction="sum" dataDxfId="36" totalsRowDxfId="35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calculatedColumnFormula>
    </tableColumn>
    <tableColumn id="33" xr3:uid="{981B0CA1-68C3-4E46-9AD0-9C60A5EA3BAB}" name="31" totalsRowFunction="sum" dataDxfId="34" totalsRowDxfId="33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calculatedColumnFormula>
    </tableColumn>
    <tableColumn id="36" xr3:uid="{D1867334-45CE-48EB-A89C-97C48DC05F7C}" name="Last _x000a_Stock" totalsRowFunction="sum" dataDxfId="32" totalsRowDxfId="31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30">
      <calculatedColumnFormula>IF(Table6[[#This Row],[SKU]]="","",SUMIF(Table7[SKU],'FIFO COGS'!A6,Table7[Stock Available]))</calculatedColumnFormula>
    </tableColumn>
    <tableColumn id="4" xr3:uid="{02D9CFDC-7ED2-4F44-8FE7-1B607CE86A1E}" name="Value" dataDxfId="29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28">
      <calculatedColumnFormula>IF(Table7[[#This Row],[Invoice]]="","",TabPO[[#This Row],[Tanggal]])</calculatedColumnFormula>
    </tableColumn>
    <tableColumn id="7" xr3:uid="{5B0644C0-65BD-4D33-87C6-930FA1E119D8}" name="Invoice" dataDxfId="27">
      <calculatedColumnFormula>TabPO[[#This Row],[No Invoice]]</calculatedColumnFormula>
    </tableColumn>
    <tableColumn id="2" xr3:uid="{F0518DB5-C1F5-4C14-BFDF-3B2448385932}" name="SKU" dataDxfId="26">
      <calculatedColumnFormula>IF(Table7[[#This Row],[Invoice]]="","",TabPO[[#This Row],[SKU]])</calculatedColumnFormula>
    </tableColumn>
    <tableColumn id="3" xr3:uid="{4A0E53E0-3515-403A-B9B7-B8B56E6022A1}" name="Product Name" dataDxfId="25">
      <calculatedColumnFormula>IF(Table7[[#This Row],[Invoice]]="","",TabPO[[#This Row],[Product Name]])</calculatedColumnFormula>
    </tableColumn>
    <tableColumn id="4" xr3:uid="{4DBEF6E0-FECB-4974-971B-09194FD2D42A}" name="Unit" dataDxfId="24">
      <calculatedColumnFormula>IF(Table7[[#This Row],[Invoice]]="","",TabPO[[#This Row],[Order]])</calculatedColumnFormula>
    </tableColumn>
    <tableColumn id="5" xr3:uid="{CA27AEEB-54C6-4656-A6C2-DBF5340E19AC}" name="Cost / Unit" dataDxfId="23">
      <calculatedColumnFormula>IF(Table7[[#This Row],[SKU]]="","",TabPO[[#This Row],[Price]])</calculatedColumnFormula>
    </tableColumn>
    <tableColumn id="6" xr3:uid="{A81A998A-B2C9-4071-8276-3F5478BE863D}" name="Total Cost" dataDxfId="22">
      <calculatedColumnFormula>IFERROR(Table7[[#This Row],[Unit]]*Table7[[#This Row],[Cost / Unit]],"")</calculatedColumnFormula>
    </tableColumn>
    <tableColumn id="10" xr3:uid="{BE0E671B-93E5-4D4B-BE8D-3A6C5D791713}" name="Unit Sold" dataDxfId="21">
      <calculatedColumnFormula>IF(Table7[[#This Row],[SKU]]="","",MIN(Table7[[#This Row],[Unit]],SUMIF(Sales!$F$5:$F$111,Table7[[#This Row],[SKU]],Sales!$H$5:$H$111)-SUMIF($H$5:H5,H6,$M$5:M5)))</calculatedColumnFormula>
    </tableColumn>
    <tableColumn id="8" xr3:uid="{91814FF0-A674-4306-ACD9-52F7A87DADE9}" name="Stock Available" dataDxfId="20">
      <calculatedColumnFormula>IF(Table7[[#This Row],[SKU]]="","",Table7[[#This Row],[Unit]]-Table7[[#This Row],[Unit Sold]])</calculatedColumnFormula>
    </tableColumn>
    <tableColumn id="9" xr3:uid="{A63BE516-99FC-49D8-843F-44A8845BCA9A}" name="Value" dataDxfId="19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4:I1000"/>
  <sheetViews>
    <sheetView workbookViewId="0">
      <selection activeCell="D6" sqref="D6"/>
    </sheetView>
  </sheetViews>
  <sheetFormatPr defaultRowHeight="14.4"/>
  <cols>
    <col min="4" max="4" width="12.88671875" customWidth="1"/>
    <col min="5" max="5" width="23.5546875" bestFit="1" customWidth="1"/>
    <col min="6" max="6" width="18.33203125" bestFit="1" customWidth="1"/>
    <col min="7" max="7" width="13.88671875" customWidth="1"/>
    <col min="9" max="9" width="23.44140625" bestFit="1" customWidth="1"/>
  </cols>
  <sheetData>
    <row r="4" spans="3:9">
      <c r="C4" s="75" t="s">
        <v>4</v>
      </c>
      <c r="D4" s="75" t="s">
        <v>47</v>
      </c>
      <c r="E4" s="75" t="s">
        <v>48</v>
      </c>
      <c r="F4" s="75" t="s">
        <v>62</v>
      </c>
      <c r="G4" s="75" t="s">
        <v>63</v>
      </c>
      <c r="H4" s="75" t="s">
        <v>65</v>
      </c>
      <c r="I4" s="75" t="s">
        <v>78</v>
      </c>
    </row>
    <row r="5" spans="3:9">
      <c r="C5" s="75"/>
      <c r="D5" s="75"/>
      <c r="E5" s="75"/>
      <c r="F5" s="75"/>
      <c r="G5" s="75"/>
      <c r="H5" s="75"/>
      <c r="I5" s="75"/>
    </row>
    <row r="6" spans="3:9">
      <c r="C6" s="1">
        <f>IF(AND(E6="",F6="",G6=""),"",ROW(C1))</f>
        <v>1</v>
      </c>
      <c r="D6" s="5" t="str">
        <f>IF(E6="","",G6 &amp; C6)</f>
        <v>329221</v>
      </c>
      <c r="E6" s="2" t="s">
        <v>51</v>
      </c>
      <c r="F6" t="s">
        <v>64</v>
      </c>
      <c r="G6" s="6">
        <v>32922</v>
      </c>
      <c r="H6" t="s">
        <v>66</v>
      </c>
      <c r="I6" t="s">
        <v>77</v>
      </c>
    </row>
    <row r="7" spans="3:9">
      <c r="C7" s="1">
        <f t="shared" ref="C7:C21" si="0">IF(AND(E7="",F7="",G7=""),"",ROW(C2))</f>
        <v>2</v>
      </c>
      <c r="D7" s="5" t="str">
        <f t="shared" ref="D7:D23" si="1">IF(E7="","",G7 &amp; C7)</f>
        <v>329222</v>
      </c>
      <c r="E7" s="2" t="s">
        <v>52</v>
      </c>
      <c r="F7" t="s">
        <v>69</v>
      </c>
      <c r="G7" s="6">
        <v>32922</v>
      </c>
      <c r="H7" t="s">
        <v>66</v>
      </c>
      <c r="I7" t="s">
        <v>79</v>
      </c>
    </row>
    <row r="8" spans="3:9">
      <c r="C8" s="1">
        <f t="shared" si="0"/>
        <v>3</v>
      </c>
      <c r="D8" s="5" t="str">
        <f t="shared" si="1"/>
        <v>328763</v>
      </c>
      <c r="E8" s="2" t="s">
        <v>53</v>
      </c>
      <c r="F8" t="s">
        <v>70</v>
      </c>
      <c r="G8" s="6">
        <v>32876</v>
      </c>
      <c r="H8" t="s">
        <v>67</v>
      </c>
      <c r="I8" t="s">
        <v>80</v>
      </c>
    </row>
    <row r="9" spans="3:9">
      <c r="C9" s="1">
        <f t="shared" si="0"/>
        <v>4</v>
      </c>
      <c r="D9" s="5" t="str">
        <f t="shared" si="1"/>
        <v>333654</v>
      </c>
      <c r="E9" s="2" t="s">
        <v>54</v>
      </c>
      <c r="F9" t="s">
        <v>71</v>
      </c>
      <c r="G9" s="6">
        <v>33365</v>
      </c>
      <c r="H9" t="s">
        <v>67</v>
      </c>
      <c r="I9" t="s">
        <v>81</v>
      </c>
    </row>
    <row r="10" spans="3:9">
      <c r="C10" s="1">
        <f t="shared" si="0"/>
        <v>5</v>
      </c>
      <c r="D10" s="5" t="str">
        <f t="shared" si="1"/>
        <v>336535</v>
      </c>
      <c r="E10" s="2" t="s">
        <v>55</v>
      </c>
      <c r="F10" t="s">
        <v>64</v>
      </c>
      <c r="G10" s="6">
        <v>33653</v>
      </c>
      <c r="H10" t="s">
        <v>66</v>
      </c>
      <c r="I10" t="s">
        <v>82</v>
      </c>
    </row>
    <row r="11" spans="3:9">
      <c r="C11" s="1">
        <f t="shared" si="0"/>
        <v>6</v>
      </c>
      <c r="D11" s="5" t="str">
        <f t="shared" si="1"/>
        <v>338256</v>
      </c>
      <c r="E11" s="2" t="s">
        <v>56</v>
      </c>
      <c r="F11" t="s">
        <v>72</v>
      </c>
      <c r="G11" s="6">
        <v>33825</v>
      </c>
      <c r="H11" t="s">
        <v>66</v>
      </c>
      <c r="I11" t="s">
        <v>83</v>
      </c>
    </row>
    <row r="12" spans="3:9">
      <c r="C12" s="1">
        <f t="shared" si="0"/>
        <v>7</v>
      </c>
      <c r="D12" s="5" t="str">
        <f t="shared" si="1"/>
        <v>332357</v>
      </c>
      <c r="E12" s="2" t="s">
        <v>51</v>
      </c>
      <c r="F12" t="s">
        <v>73</v>
      </c>
      <c r="G12" s="6">
        <v>33235</v>
      </c>
      <c r="H12" t="s">
        <v>68</v>
      </c>
      <c r="I12" t="s">
        <v>84</v>
      </c>
    </row>
    <row r="13" spans="3:9">
      <c r="C13" s="1">
        <f t="shared" si="0"/>
        <v>8</v>
      </c>
      <c r="D13" s="5" t="str">
        <f t="shared" si="1"/>
        <v>356768</v>
      </c>
      <c r="E13" s="2" t="s">
        <v>57</v>
      </c>
      <c r="F13" t="s">
        <v>64</v>
      </c>
      <c r="G13" s="6">
        <v>35676</v>
      </c>
      <c r="H13" t="s">
        <v>67</v>
      </c>
      <c r="I13" t="s">
        <v>85</v>
      </c>
    </row>
    <row r="14" spans="3:9">
      <c r="C14" s="1">
        <f t="shared" si="0"/>
        <v>9</v>
      </c>
      <c r="D14" s="5" t="str">
        <f t="shared" si="1"/>
        <v>346149</v>
      </c>
      <c r="E14" s="2" t="s">
        <v>58</v>
      </c>
      <c r="F14" t="s">
        <v>74</v>
      </c>
      <c r="G14" s="6">
        <v>34614</v>
      </c>
      <c r="H14" t="s">
        <v>66</v>
      </c>
      <c r="I14" t="s">
        <v>86</v>
      </c>
    </row>
    <row r="15" spans="3:9">
      <c r="C15" s="1">
        <f t="shared" si="0"/>
        <v>10</v>
      </c>
      <c r="D15" s="5" t="str">
        <f t="shared" si="1"/>
        <v>3427510</v>
      </c>
      <c r="E15" s="2" t="s">
        <v>56</v>
      </c>
      <c r="F15" t="s">
        <v>75</v>
      </c>
      <c r="G15" s="6">
        <v>34275</v>
      </c>
      <c r="H15" t="s">
        <v>67</v>
      </c>
      <c r="I15" t="s">
        <v>87</v>
      </c>
    </row>
    <row r="16" spans="3:9">
      <c r="C16" s="1">
        <f t="shared" si="0"/>
        <v>11</v>
      </c>
      <c r="D16" s="5" t="str">
        <f t="shared" si="1"/>
        <v>3379411</v>
      </c>
      <c r="E16" s="2" t="s">
        <v>51</v>
      </c>
      <c r="F16" t="s">
        <v>76</v>
      </c>
      <c r="G16" s="6">
        <v>33794</v>
      </c>
      <c r="H16" t="s">
        <v>67</v>
      </c>
      <c r="I16" t="s">
        <v>88</v>
      </c>
    </row>
    <row r="17" spans="3:9">
      <c r="C17" s="1">
        <f t="shared" si="0"/>
        <v>12</v>
      </c>
      <c r="D17" s="5" t="str">
        <f t="shared" si="1"/>
        <v>3292212</v>
      </c>
      <c r="E17" s="2" t="s">
        <v>94</v>
      </c>
      <c r="F17" t="s">
        <v>95</v>
      </c>
      <c r="G17" s="6">
        <v>32922</v>
      </c>
      <c r="H17" t="s">
        <v>66</v>
      </c>
      <c r="I17" t="s">
        <v>96</v>
      </c>
    </row>
    <row r="18" spans="3:9">
      <c r="C18" s="1" t="str">
        <f t="shared" si="0"/>
        <v/>
      </c>
      <c r="D18" s="5" t="str">
        <f t="shared" si="1"/>
        <v/>
      </c>
    </row>
    <row r="19" spans="3:9">
      <c r="C19" s="1" t="str">
        <f t="shared" si="0"/>
        <v/>
      </c>
      <c r="D19" s="5" t="str">
        <f t="shared" si="1"/>
        <v/>
      </c>
    </row>
    <row r="20" spans="3:9">
      <c r="C20" s="1" t="str">
        <f t="shared" si="0"/>
        <v/>
      </c>
      <c r="D20" s="5" t="str">
        <f t="shared" si="1"/>
        <v/>
      </c>
    </row>
    <row r="21" spans="3:9">
      <c r="C21" s="1" t="str">
        <f t="shared" si="0"/>
        <v/>
      </c>
      <c r="D21" s="5" t="str">
        <f t="shared" si="1"/>
        <v/>
      </c>
    </row>
    <row r="22" spans="3:9">
      <c r="D22" s="5" t="str">
        <f t="shared" si="1"/>
        <v/>
      </c>
    </row>
    <row r="23" spans="3:9">
      <c r="D23" s="5" t="str">
        <f t="shared" si="1"/>
        <v/>
      </c>
    </row>
    <row r="24" spans="3:9">
      <c r="D24" s="5" t="str">
        <f>IF(E24="","","EMP-" &amp; TEXT(IF(COUNTIF(E$6:E24,E24)&gt;=1,MATCH(E24,$E$6:$E$1000,0),COUNTA(UNIQUE(E$6:E24))),"000"))</f>
        <v/>
      </c>
    </row>
    <row r="25" spans="3:9">
      <c r="D25" s="5" t="str">
        <f>IF(E25="","","EMP-" &amp; TEXT(IF(COUNTIF(E$6:E25,E25)&gt;=1,MATCH(E25,$E$6:$E$1000,0),COUNTA(UNIQUE(E$6:E25))),"000"))</f>
        <v/>
      </c>
    </row>
    <row r="26" spans="3:9">
      <c r="D26" s="5" t="str">
        <f>IF(E26="","","EMP-" &amp; TEXT(IF(COUNTIF(E$6:E26,E26)&gt;=1,MATCH(E26,$E$6:$E$1000,0),COUNTA(UNIQUE(E$6:E26))),"000"))</f>
        <v/>
      </c>
    </row>
    <row r="27" spans="3:9">
      <c r="D27" s="5" t="str">
        <f>IF(E27="","","EMP-" &amp; TEXT(IF(COUNTIF(E$6:E27,E27)&gt;=1,MATCH(E27,$E$6:$E$1000,0),COUNTA(UNIQUE(E$6:E27))),"000"))</f>
        <v/>
      </c>
    </row>
    <row r="28" spans="3:9">
      <c r="D28" s="5" t="str">
        <f>IF(E28="","","EMP-" &amp; TEXT(IF(COUNTIF(E$6:E28,E28)&gt;=1,MATCH(E28,$E$6:$E$1000,0),COUNTA(UNIQUE(E$6:E28))),"000"))</f>
        <v/>
      </c>
    </row>
    <row r="29" spans="3:9">
      <c r="D29" s="5" t="str">
        <f>IF(E29="","","EMP-" &amp; TEXT(IF(COUNTIF(E$6:E29,E29)&gt;=1,MATCH(E29,$E$6:$E$1000,0),COUNTA(UNIQUE(E$6:E29))),"000"))</f>
        <v/>
      </c>
    </row>
    <row r="30" spans="3:9">
      <c r="D30" s="5" t="str">
        <f>IF(E30="","","EMP-" &amp; TEXT(IF(COUNTIF(E$6:E30,E30)&gt;=1,MATCH(E30,$E$6:$E$1000,0),COUNTA(UNIQUE(E$6:E30))),"000"))</f>
        <v/>
      </c>
    </row>
    <row r="31" spans="3:9">
      <c r="D31" s="5" t="str">
        <f>IF(E31="","","EMP-" &amp; TEXT(IF(COUNTIF(E$6:E31,E31)&gt;=1,MATCH(E31,$E$6:$E$1000,0),COUNTA(UNIQUE(E$6:E31))),"000"))</f>
        <v/>
      </c>
    </row>
    <row r="32" spans="3:9">
      <c r="D32" s="5" t="str">
        <f>IF(E32="","","EMP-" &amp; TEXT(IF(COUNTIF(E$6:E32,E32)&gt;=1,MATCH(E32,$E$6:$E$1000,0),COUNTA(UNIQUE(E$6:E32))),"000"))</f>
        <v/>
      </c>
    </row>
    <row r="33" spans="4:4">
      <c r="D33" s="5" t="str">
        <f>IF(E33="","","EMP-" &amp; TEXT(IF(COUNTIF(E$6:E33,E33)&gt;=1,MATCH(E33,$E$6:$E$1000,0),COUNTA(UNIQUE(E$6:E33))),"000"))</f>
        <v/>
      </c>
    </row>
    <row r="34" spans="4:4">
      <c r="D34" s="5" t="str">
        <f>IF(E34="","","EMP-" &amp; TEXT(IF(COUNTIF(E$6:E34,E34)&gt;=1,MATCH(E34,$E$6:$E$1000,0),COUNTA(UNIQUE(E$6:E34))),"000"))</f>
        <v/>
      </c>
    </row>
    <row r="35" spans="4:4">
      <c r="D35" s="5" t="str">
        <f>IF(E35="","","EMP-" &amp; TEXT(IF(COUNTIF(E$6:E35,E35)&gt;=1,MATCH(E35,$E$6:$E$1000,0),COUNTA(UNIQUE(E$6:E35))),"000"))</f>
        <v/>
      </c>
    </row>
    <row r="36" spans="4:4">
      <c r="D36" s="5" t="str">
        <f>IF(E36="","","EMP-" &amp; TEXT(IF(COUNTIF(E$6:E36,E36)&gt;=1,MATCH(E36,$E$6:$E$1000,0),COUNTA(UNIQUE(E$6:E36))),"000"))</f>
        <v/>
      </c>
    </row>
    <row r="37" spans="4:4">
      <c r="D37" s="5" t="str">
        <f>IF(E37="","","EMP-" &amp; TEXT(IF(COUNTIF(E$6:E37,E37)&gt;=1,MATCH(E37,$E$6:$E$1000,0),COUNTA(UNIQUE(E$6:E37))),"000"))</f>
        <v/>
      </c>
    </row>
    <row r="38" spans="4:4">
      <c r="D38" s="5" t="str">
        <f>IF(E38="","","EMP-" &amp; TEXT(IF(COUNTIF(E$6:E38,E38)&gt;=1,MATCH(E38,$E$6:$E$1000,0),COUNTA(UNIQUE(E$6:E38))),"000"))</f>
        <v/>
      </c>
    </row>
    <row r="39" spans="4:4">
      <c r="D39" s="5" t="str">
        <f>IF(E39="","","EMP-" &amp; TEXT(IF(COUNTIF(E$6:E39,E39)&gt;=1,MATCH(E39,$E$6:$E$1000,0),COUNTA(UNIQUE(E$6:E39))),"000"))</f>
        <v/>
      </c>
    </row>
    <row r="40" spans="4:4">
      <c r="D40" s="5" t="str">
        <f>IF(E40="","","EMP-" &amp; TEXT(IF(COUNTIF(E$6:E40,E40)&gt;=1,MATCH(E40,$E$6:$E$1000,0),COUNTA(UNIQUE(E$6:E40))),"000"))</f>
        <v/>
      </c>
    </row>
    <row r="41" spans="4:4">
      <c r="D41" s="5" t="str">
        <f>IF(E41="","","EMP-" &amp; TEXT(IF(COUNTIF(E$6:E41,E41)&gt;=1,MATCH(E41,$E$6:$E$1000,0),COUNTA(UNIQUE(E$6:E41))),"000"))</f>
        <v/>
      </c>
    </row>
    <row r="42" spans="4:4">
      <c r="D42" s="5" t="str">
        <f>IF(E42="","","EMP-" &amp; TEXT(IF(COUNTIF(E$6:E42,E42)&gt;=1,MATCH(E42,$E$6:$E$1000,0),COUNTA(UNIQUE(E$6:E42))),"000"))</f>
        <v/>
      </c>
    </row>
    <row r="43" spans="4:4">
      <c r="D43" s="5" t="str">
        <f>IF(E43="","","EMP-" &amp; TEXT(IF(COUNTIF(E$6:E43,E43)&gt;=1,MATCH(E43,$E$6:$E$1000,0),COUNTA(UNIQUE(E$6:E43))),"000"))</f>
        <v/>
      </c>
    </row>
    <row r="44" spans="4:4">
      <c r="D44" s="5" t="str">
        <f>IF(E44="","","EMP-" &amp; TEXT(IF(COUNTIF(E$6:E44,E44)&gt;=1,MATCH(E44,$E$6:$E$1000,0),COUNTA(UNIQUE(E$6:E44))),"000"))</f>
        <v/>
      </c>
    </row>
    <row r="45" spans="4:4">
      <c r="D45" s="5" t="str">
        <f>IF(E45="","","EMP-" &amp; TEXT(IF(COUNTIF(E$6:E45,E45)&gt;=1,MATCH(E45,$E$6:$E$1000,0),COUNTA(UNIQUE(E$6:E45))),"000"))</f>
        <v/>
      </c>
    </row>
    <row r="46" spans="4:4">
      <c r="D46" s="5" t="str">
        <f>IF(E46="","","EMP-" &amp; TEXT(IF(COUNTIF(E$6:E46,E46)&gt;=1,MATCH(E46,$E$6:$E$1000,0),COUNTA(UNIQUE(E$6:E46))),"000"))</f>
        <v/>
      </c>
    </row>
    <row r="47" spans="4:4">
      <c r="D47" s="5" t="str">
        <f>IF(E47="","","EMP-" &amp; TEXT(IF(COUNTIF(E$6:E47,E47)&gt;=1,MATCH(E47,$E$6:$E$1000,0),COUNTA(UNIQUE(E$6:E47))),"000"))</f>
        <v/>
      </c>
    </row>
    <row r="48" spans="4:4">
      <c r="D48" s="5" t="str">
        <f>IF(E48="","","EMP-" &amp; TEXT(IF(COUNTIF(E$6:E48,E48)&gt;=1,MATCH(E48,$E$6:$E$1000,0),COUNTA(UNIQUE(E$6:E48))),"000"))</f>
        <v/>
      </c>
    </row>
    <row r="49" spans="4:4">
      <c r="D49" s="5" t="str">
        <f>IF(E49="","","EMP-" &amp; TEXT(IF(COUNTIF(E$6:E49,E49)&gt;=1,MATCH(E49,$E$6:$E$1000,0),COUNTA(UNIQUE(E$6:E49))),"000"))</f>
        <v/>
      </c>
    </row>
    <row r="50" spans="4:4">
      <c r="D50" s="5" t="str">
        <f>IF(E50="","","EMP-" &amp; TEXT(IF(COUNTIF(E$6:E50,E50)&gt;=1,MATCH(E50,$E$6:$E$1000,0),COUNTA(UNIQUE(E$6:E50))),"000"))</f>
        <v/>
      </c>
    </row>
    <row r="51" spans="4:4">
      <c r="D51" s="5" t="str">
        <f>IF(E51="","","EMP-" &amp; TEXT(IF(COUNTIF(E$6:E51,E51)&gt;=1,MATCH(E51,$E$6:$E$1000,0),COUNTA(UNIQUE(E$6:E51))),"000"))</f>
        <v/>
      </c>
    </row>
    <row r="52" spans="4:4">
      <c r="D52" s="5" t="str">
        <f>IF(E52="","","EMP-" &amp; TEXT(IF(COUNTIF(E$6:E52,E52)&gt;=1,MATCH(E52,$E$6:$E$1000,0),COUNTA(UNIQUE(E$6:E52))),"000"))</f>
        <v/>
      </c>
    </row>
    <row r="53" spans="4:4">
      <c r="D53" s="5" t="str">
        <f>IF(E53="","","EMP-" &amp; TEXT(IF(COUNTIF(E$6:E53,E53)&gt;=1,MATCH(E53,$E$6:$E$1000,0),COUNTA(UNIQUE(E$6:E53))),"000"))</f>
        <v/>
      </c>
    </row>
    <row r="54" spans="4:4">
      <c r="D54" s="5" t="str">
        <f>IF(E54="","","EMP-" &amp; TEXT(IF(COUNTIF(E$6:E54,E54)&gt;=1,MATCH(E54,$E$6:$E$1000,0),COUNTA(UNIQUE(E$6:E54))),"000"))</f>
        <v/>
      </c>
    </row>
    <row r="55" spans="4:4">
      <c r="D55" s="5" t="str">
        <f>IF(E55="","","EMP-" &amp; TEXT(IF(COUNTIF(E$6:E55,E55)&gt;=1,MATCH(E55,$E$6:$E$1000,0),COUNTA(UNIQUE(E$6:E55))),"000"))</f>
        <v/>
      </c>
    </row>
    <row r="56" spans="4:4">
      <c r="D56" s="5" t="str">
        <f>IF(E56="","","EMP-" &amp; TEXT(IF(COUNTIF(E$6:E56,E56)&gt;=1,MATCH(E56,$E$6:$E$1000,0),COUNTA(UNIQUE(E$6:E56))),"000"))</f>
        <v/>
      </c>
    </row>
    <row r="57" spans="4:4">
      <c r="D57" s="5" t="str">
        <f>IF(E57="","","EMP-" &amp; TEXT(IF(COUNTIF(E$6:E57,E57)&gt;=1,MATCH(E57,$E$6:$E$1000,0),COUNTA(UNIQUE(E$6:E57))),"000"))</f>
        <v/>
      </c>
    </row>
    <row r="58" spans="4:4">
      <c r="D58" s="5" t="str">
        <f>IF(E58="","","EMP-" &amp; TEXT(IF(COUNTIF(E$6:E58,E58)&gt;=1,MATCH(E58,$E$6:$E$1000,0),COUNTA(UNIQUE(E$6:E58))),"000"))</f>
        <v/>
      </c>
    </row>
    <row r="59" spans="4:4">
      <c r="D59" s="5" t="str">
        <f>IF(E59="","","EMP-" &amp; TEXT(IF(COUNTIF(E$6:E59,E59)&gt;=1,MATCH(E59,$E$6:$E$1000,0),COUNTA(UNIQUE(E$6:E59))),"000"))</f>
        <v/>
      </c>
    </row>
    <row r="60" spans="4:4">
      <c r="D60" s="5" t="str">
        <f>IF(E60="","","EMP-" &amp; TEXT(IF(COUNTIF(E$6:E60,E60)&gt;=1,MATCH(E60,$E$6:$E$1000,0),COUNTA(UNIQUE(E$6:E60))),"000"))</f>
        <v/>
      </c>
    </row>
    <row r="61" spans="4:4">
      <c r="D61" s="5" t="str">
        <f>IF(E61="","","EMP-" &amp; TEXT(IF(COUNTIF(E$6:E61,E61)&gt;=1,MATCH(E61,$E$6:$E$1000,0),COUNTA(UNIQUE(E$6:E61))),"000"))</f>
        <v/>
      </c>
    </row>
    <row r="62" spans="4:4">
      <c r="D62" s="5" t="str">
        <f>IF(E62="","","EMP-" &amp; TEXT(IF(COUNTIF(E$6:E62,E62)&gt;=1,MATCH(E62,$E$6:$E$1000,0),COUNTA(UNIQUE(E$6:E62))),"000"))</f>
        <v/>
      </c>
    </row>
    <row r="63" spans="4:4">
      <c r="D63" s="5" t="str">
        <f>IF(E63="","","EMP-" &amp; TEXT(IF(COUNTIF(E$6:E63,E63)&gt;=1,MATCH(E63,$E$6:$E$1000,0),COUNTA(UNIQUE(E$6:E63))),"000"))</f>
        <v/>
      </c>
    </row>
    <row r="64" spans="4:4">
      <c r="D64" s="5" t="str">
        <f>IF(E64="","","EMP-" &amp; TEXT(IF(COUNTIF(E$6:E64,E64)&gt;=1,MATCH(E64,$E$6:$E$1000,0),COUNTA(UNIQUE(E$6:E64))),"000"))</f>
        <v/>
      </c>
    </row>
    <row r="65" spans="4:4">
      <c r="D65" s="5" t="str">
        <f>IF(E65="","","EMP-" &amp; TEXT(IF(COUNTIF(E$6:E65,E65)&gt;=1,MATCH(E65,$E$6:$E$1000,0),COUNTA(UNIQUE(E$6:E65))),"000"))</f>
        <v/>
      </c>
    </row>
    <row r="66" spans="4:4">
      <c r="D66" s="5" t="str">
        <f>IF(E66="","","EMP-" &amp; TEXT(IF(COUNTIF(E$6:E66,E66)&gt;=1,MATCH(E66,$E$6:$E$1000,0),COUNTA(UNIQUE(E$6:E66))),"000"))</f>
        <v/>
      </c>
    </row>
    <row r="67" spans="4:4">
      <c r="D67" s="5" t="str">
        <f>IF(E67="","","EMP-" &amp; TEXT(IF(COUNTIF(E$6:E67,E67)&gt;=1,MATCH(E67,$E$6:$E$1000,0),COUNTA(UNIQUE(E$6:E67))),"000"))</f>
        <v/>
      </c>
    </row>
    <row r="68" spans="4:4">
      <c r="D68" s="5" t="str">
        <f>IF(E68="","","EMP-" &amp; TEXT(IF(COUNTIF(E$6:E68,E68)&gt;=1,MATCH(E68,$E$6:$E$1000,0),COUNTA(UNIQUE(E$6:E68))),"000"))</f>
        <v/>
      </c>
    </row>
    <row r="69" spans="4:4">
      <c r="D69" s="5" t="str">
        <f>IF(E69="","","EMP-" &amp; TEXT(IF(COUNTIF(E$6:E69,E69)&gt;=1,MATCH(E69,$E$6:$E$1000,0),COUNTA(UNIQUE(E$6:E69))),"000"))</f>
        <v/>
      </c>
    </row>
    <row r="70" spans="4:4">
      <c r="D70" s="5" t="str">
        <f>IF(E70="","","EMP-" &amp; TEXT(IF(COUNTIF(E$6:E70,E70)&gt;=1,MATCH(E70,$E$6:$E$1000,0),COUNTA(UNIQUE(E$6:E70))),"000"))</f>
        <v/>
      </c>
    </row>
    <row r="71" spans="4:4">
      <c r="D71" s="5" t="str">
        <f>IF(E71="","","EMP-" &amp; TEXT(IF(COUNTIF(E$6:E71,E71)&gt;=1,MATCH(E71,$E$6:$E$1000,0),COUNTA(UNIQUE(E$6:E71))),"000"))</f>
        <v/>
      </c>
    </row>
    <row r="72" spans="4:4">
      <c r="D72" s="5" t="str">
        <f>IF(E72="","","EMP-" &amp; TEXT(IF(COUNTIF(E$6:E72,E72)&gt;=1,MATCH(E72,$E$6:$E$1000,0),COUNTA(UNIQUE(E$6:E72))),"000"))</f>
        <v/>
      </c>
    </row>
    <row r="73" spans="4:4">
      <c r="D73" s="5" t="str">
        <f>IF(E73="","","EMP-" &amp; TEXT(IF(COUNTIF(E$6:E73,E73)&gt;=1,MATCH(E73,$E$6:$E$1000,0),COUNTA(UNIQUE(E$6:E73))),"000"))</f>
        <v/>
      </c>
    </row>
    <row r="74" spans="4:4">
      <c r="D74" s="5" t="str">
        <f>IF(E74="","","EMP-" &amp; TEXT(IF(COUNTIF(E$6:E74,E74)&gt;=1,MATCH(E74,$E$6:$E$1000,0),COUNTA(UNIQUE(E$6:E74))),"000"))</f>
        <v/>
      </c>
    </row>
    <row r="75" spans="4:4">
      <c r="D75" s="5" t="str">
        <f>IF(E75="","","EMP-" &amp; TEXT(IF(COUNTIF(E$6:E75,E75)&gt;=1,MATCH(E75,$E$6:$E$1000,0),COUNTA(UNIQUE(E$6:E75))),"000"))</f>
        <v/>
      </c>
    </row>
    <row r="76" spans="4:4">
      <c r="D76" s="5" t="str">
        <f>IF(E76="","","EMP-" &amp; TEXT(IF(COUNTIF(E$6:E76,E76)&gt;=1,MATCH(E76,$E$6:$E$1000,0),COUNTA(UNIQUE(E$6:E76))),"000"))</f>
        <v/>
      </c>
    </row>
    <row r="77" spans="4:4">
      <c r="D77" s="5" t="str">
        <f>IF(E77="","","EMP-" &amp; TEXT(IF(COUNTIF(E$6:E77,E77)&gt;=1,MATCH(E77,$E$6:$E$1000,0),COUNTA(UNIQUE(E$6:E77))),"000"))</f>
        <v/>
      </c>
    </row>
    <row r="78" spans="4:4">
      <c r="D78" s="5" t="str">
        <f>IF(E78="","","EMP-" &amp; TEXT(IF(COUNTIF(E$6:E78,E78)&gt;=1,MATCH(E78,$E$6:$E$1000,0),COUNTA(UNIQUE(E$6:E78))),"000"))</f>
        <v/>
      </c>
    </row>
    <row r="79" spans="4:4">
      <c r="D79" s="5" t="str">
        <f>IF(E79="","","EMP-" &amp; TEXT(IF(COUNTIF(E$6:E79,E79)&gt;=1,MATCH(E79,$E$6:$E$1000,0),COUNTA(UNIQUE(E$6:E79))),"000"))</f>
        <v/>
      </c>
    </row>
    <row r="80" spans="4:4">
      <c r="D80" s="5" t="str">
        <f>IF(E80="","","EMP-" &amp; TEXT(IF(COUNTIF(E$6:E80,E80)&gt;=1,MATCH(E80,$E$6:$E$1000,0),COUNTA(UNIQUE(E$6:E80))),"000"))</f>
        <v/>
      </c>
    </row>
    <row r="81" spans="4:4">
      <c r="D81" s="5" t="str">
        <f>IF(E81="","","EMP-" &amp; TEXT(IF(COUNTIF(E$6:E81,E81)&gt;=1,MATCH(E81,$E$6:$E$1000,0),COUNTA(UNIQUE(E$6:E81))),"000"))</f>
        <v/>
      </c>
    </row>
    <row r="82" spans="4:4">
      <c r="D82" s="5" t="str">
        <f>IF(E82="","","EMP-" &amp; TEXT(IF(COUNTIF(E$6:E82,E82)&gt;=1,MATCH(E82,$E$6:$E$1000,0),COUNTA(UNIQUE(E$6:E82))),"000"))</f>
        <v/>
      </c>
    </row>
    <row r="83" spans="4:4">
      <c r="D83" s="5" t="str">
        <f>IF(E83="","","EMP-" &amp; TEXT(IF(COUNTIF(E$6:E83,E83)&gt;=1,MATCH(E83,$E$6:$E$1000,0),COUNTA(UNIQUE(E$6:E83))),"000"))</f>
        <v/>
      </c>
    </row>
    <row r="84" spans="4:4">
      <c r="D84" s="5" t="str">
        <f>IF(E84="","","EMP-" &amp; TEXT(IF(COUNTIF(E$6:E84,E84)&gt;=1,MATCH(E84,$E$6:$E$1000,0),COUNTA(UNIQUE(E$6:E84))),"000"))</f>
        <v/>
      </c>
    </row>
    <row r="85" spans="4:4">
      <c r="D85" s="5" t="str">
        <f>IF(E85="","","EMP-" &amp; TEXT(IF(COUNTIF(E$6:E85,E85)&gt;=1,MATCH(E85,$E$6:$E$1000,0),COUNTA(UNIQUE(E$6:E85))),"000"))</f>
        <v/>
      </c>
    </row>
    <row r="86" spans="4:4">
      <c r="D86" s="5" t="str">
        <f>IF(E86="","","EMP-" &amp; TEXT(IF(COUNTIF(E$6:E86,E86)&gt;=1,MATCH(E86,$E$6:$E$1000,0),COUNTA(UNIQUE(E$6:E86))),"000"))</f>
        <v/>
      </c>
    </row>
    <row r="87" spans="4:4">
      <c r="D87" s="5" t="str">
        <f>IF(E87="","","EMP-" &amp; TEXT(IF(COUNTIF(E$6:E87,E87)&gt;=1,MATCH(E87,$E$6:$E$1000,0),COUNTA(UNIQUE(E$6:E87))),"000"))</f>
        <v/>
      </c>
    </row>
    <row r="88" spans="4:4">
      <c r="D88" s="5" t="str">
        <f>IF(E88="","","EMP-" &amp; TEXT(IF(COUNTIF(E$6:E88,E88)&gt;=1,MATCH(E88,$E$6:$E$1000,0),COUNTA(UNIQUE(E$6:E88))),"000"))</f>
        <v/>
      </c>
    </row>
    <row r="89" spans="4:4">
      <c r="D89" s="5" t="str">
        <f>IF(E89="","","EMP-" &amp; TEXT(IF(COUNTIF(E$6:E89,E89)&gt;=1,MATCH(E89,$E$6:$E$1000,0),COUNTA(UNIQUE(E$6:E89))),"000"))</f>
        <v/>
      </c>
    </row>
    <row r="90" spans="4:4">
      <c r="D90" s="5" t="str">
        <f>IF(E90="","","EMP-" &amp; TEXT(IF(COUNTIF(E$6:E90,E90)&gt;=1,MATCH(E90,$E$6:$E$1000,0),COUNTA(UNIQUE(E$6:E90))),"000"))</f>
        <v/>
      </c>
    </row>
    <row r="91" spans="4:4">
      <c r="D91" s="5" t="str">
        <f>IF(E91="","","EMP-" &amp; TEXT(IF(COUNTIF(E$6:E91,E91)&gt;=1,MATCH(E91,$E$6:$E$1000,0),COUNTA(UNIQUE(E$6:E91))),"000"))</f>
        <v/>
      </c>
    </row>
    <row r="92" spans="4:4">
      <c r="D92" s="5" t="str">
        <f>IF(E92="","","EMP-" &amp; TEXT(IF(COUNTIF(E$6:E92,E92)&gt;=1,MATCH(E92,$E$6:$E$1000,0),COUNTA(UNIQUE(E$6:E92))),"000"))</f>
        <v/>
      </c>
    </row>
    <row r="93" spans="4:4">
      <c r="D93" s="5" t="str">
        <f>IF(E93="","","EMP-" &amp; TEXT(IF(COUNTIF(E$6:E93,E93)&gt;=1,MATCH(E93,$E$6:$E$1000,0),COUNTA(UNIQUE(E$6:E93))),"000"))</f>
        <v/>
      </c>
    </row>
    <row r="94" spans="4:4">
      <c r="D94" s="5" t="str">
        <f>IF(E94="","","EMP-" &amp; TEXT(IF(COUNTIF(E$6:E94,E94)&gt;=1,MATCH(E94,$E$6:$E$1000,0),COUNTA(UNIQUE(E$6:E94))),"000"))</f>
        <v/>
      </c>
    </row>
    <row r="95" spans="4:4">
      <c r="D95" s="5" t="str">
        <f>IF(E95="","","EMP-" &amp; TEXT(IF(COUNTIF(E$6:E95,E95)&gt;=1,MATCH(E95,$E$6:$E$1000,0),COUNTA(UNIQUE(E$6:E95))),"000"))</f>
        <v/>
      </c>
    </row>
    <row r="96" spans="4:4">
      <c r="D96" s="5" t="str">
        <f>IF(E96="","","EMP-" &amp; TEXT(IF(COUNTIF(E$6:E96,E96)&gt;=1,MATCH(E96,$E$6:$E$1000,0),COUNTA(UNIQUE(E$6:E96))),"000"))</f>
        <v/>
      </c>
    </row>
    <row r="97" spans="4:4">
      <c r="D97" s="5" t="str">
        <f>IF(E97="","","EMP-" &amp; TEXT(IF(COUNTIF(E$6:E97,E97)&gt;=1,MATCH(E97,$E$6:$E$1000,0),COUNTA(UNIQUE(E$6:E97))),"000"))</f>
        <v/>
      </c>
    </row>
    <row r="98" spans="4:4">
      <c r="D98" s="5" t="str">
        <f>IF(E98="","","EMP-" &amp; TEXT(IF(COUNTIF(E$6:E98,E98)&gt;=1,MATCH(E98,$E$6:$E$1000,0),COUNTA(UNIQUE(E$6:E98))),"000"))</f>
        <v/>
      </c>
    </row>
    <row r="99" spans="4:4">
      <c r="D99" s="5" t="str">
        <f>IF(E99="","","EMP-" &amp; TEXT(IF(COUNTIF(E$6:E99,E99)&gt;=1,MATCH(E99,$E$6:$E$1000,0),COUNTA(UNIQUE(E$6:E99))),"000"))</f>
        <v/>
      </c>
    </row>
    <row r="100" spans="4:4">
      <c r="D100" s="5" t="str">
        <f>IF(E100="","","EMP-" &amp; TEXT(IF(COUNTIF(E$6:E100,E100)&gt;=1,MATCH(E100,$E$6:$E$1000,0),COUNTA(UNIQUE(E$6:E100))),"000"))</f>
        <v/>
      </c>
    </row>
    <row r="101" spans="4:4">
      <c r="D101" s="5" t="str">
        <f>IF(E101="","","EMP-" &amp; TEXT(IF(COUNTIF(E$6:E101,E101)&gt;=1,MATCH(E101,$E$6:$E$1000,0),COUNTA(UNIQUE(E$6:E101))),"000"))</f>
        <v/>
      </c>
    </row>
    <row r="102" spans="4:4">
      <c r="D102" s="5" t="str">
        <f>IF(E102="","","EMP-" &amp; TEXT(IF(COUNTIF(E$6:E102,E102)&gt;=1,MATCH(E102,$E$6:$E$1000,0),COUNTA(UNIQUE(E$6:E102))),"000"))</f>
        <v/>
      </c>
    </row>
    <row r="103" spans="4:4">
      <c r="D103" s="5" t="str">
        <f>IF(E103="","","EMP-" &amp; TEXT(IF(COUNTIF(E$6:E103,E103)&gt;=1,MATCH(E103,$E$6:$E$1000,0),COUNTA(UNIQUE(E$6:E103))),"000"))</f>
        <v/>
      </c>
    </row>
    <row r="104" spans="4:4">
      <c r="D104" s="5" t="str">
        <f>IF(E104="","","EMP-" &amp; TEXT(IF(COUNTIF(E$6:E104,E104)&gt;=1,MATCH(E104,$E$6:$E$1000,0),COUNTA(UNIQUE(E$6:E104))),"000"))</f>
        <v/>
      </c>
    </row>
    <row r="105" spans="4:4">
      <c r="D105" s="5" t="str">
        <f>IF(E105="","","EMP-" &amp; TEXT(IF(COUNTIF(E$6:E105,E105)&gt;=1,MATCH(E105,$E$6:$E$1000,0),COUNTA(UNIQUE(E$6:E105))),"000"))</f>
        <v/>
      </c>
    </row>
    <row r="106" spans="4:4">
      <c r="D106" s="5" t="str">
        <f>IF(E106="","","EMP-" &amp; TEXT(IF(COUNTIF(E$6:E106,E106)&gt;=1,MATCH(E106,$E$6:$E$1000,0),COUNTA(UNIQUE(E$6:E106))),"000"))</f>
        <v/>
      </c>
    </row>
    <row r="107" spans="4:4">
      <c r="D107" s="5" t="str">
        <f>IF(E107="","","EMP-" &amp; TEXT(IF(COUNTIF(E$6:E107,E107)&gt;=1,MATCH(E107,$E$6:$E$1000,0),COUNTA(UNIQUE(E$6:E107))),"000"))</f>
        <v/>
      </c>
    </row>
    <row r="108" spans="4:4">
      <c r="D108" s="5" t="str">
        <f>IF(E108="","","EMP-" &amp; TEXT(IF(COUNTIF(E$6:E108,E108)&gt;=1,MATCH(E108,$E$6:$E$1000,0),COUNTA(UNIQUE(E$6:E108))),"000"))</f>
        <v/>
      </c>
    </row>
    <row r="109" spans="4:4">
      <c r="D109" s="5" t="str">
        <f>IF(E109="","","EMP-" &amp; TEXT(IF(COUNTIF(E$6:E109,E109)&gt;=1,MATCH(E109,$E$6:$E$1000,0),COUNTA(UNIQUE(E$6:E109))),"000"))</f>
        <v/>
      </c>
    </row>
    <row r="110" spans="4:4">
      <c r="D110" s="5" t="str">
        <f>IF(E110="","","EMP-" &amp; TEXT(IF(COUNTIF(E$6:E110,E110)&gt;=1,MATCH(E110,$E$6:$E$1000,0),COUNTA(UNIQUE(E$6:E110))),"000"))</f>
        <v/>
      </c>
    </row>
    <row r="111" spans="4:4">
      <c r="D111" s="5" t="str">
        <f>IF(E111="","","EMP-" &amp; TEXT(IF(COUNTIF(E$6:E111,E111)&gt;=1,MATCH(E111,$E$6:$E$1000,0),COUNTA(UNIQUE(E$6:E111))),"000"))</f>
        <v/>
      </c>
    </row>
    <row r="112" spans="4:4">
      <c r="D112" s="5" t="str">
        <f>IF(E112="","","EMP-" &amp; TEXT(IF(COUNTIF(E$6:E112,E112)&gt;=1,MATCH(E112,$E$6:$E$1000,0),COUNTA(UNIQUE(E$6:E112))),"000"))</f>
        <v/>
      </c>
    </row>
    <row r="113" spans="4:4">
      <c r="D113" s="5" t="str">
        <f>IF(E113="","","EMP-" &amp; TEXT(IF(COUNTIF(E$6:E113,E113)&gt;=1,MATCH(E113,$E$6:$E$1000,0),COUNTA(UNIQUE(E$6:E113))),"000"))</f>
        <v/>
      </c>
    </row>
    <row r="114" spans="4:4">
      <c r="D114" s="5" t="str">
        <f>IF(E114="","","EMP-" &amp; TEXT(IF(COUNTIF(E$6:E114,E114)&gt;=1,MATCH(E114,$E$6:$E$1000,0),COUNTA(UNIQUE(E$6:E114))),"000"))</f>
        <v/>
      </c>
    </row>
    <row r="115" spans="4:4">
      <c r="D115" s="5" t="str">
        <f>IF(E115="","","EMP-" &amp; TEXT(IF(COUNTIF(E$6:E115,E115)&gt;=1,MATCH(E115,$E$6:$E$1000,0),COUNTA(UNIQUE(E$6:E115))),"000"))</f>
        <v/>
      </c>
    </row>
    <row r="116" spans="4:4">
      <c r="D116" s="5" t="str">
        <f>IF(E116="","","EMP-" &amp; TEXT(IF(COUNTIF(E$6:E116,E116)&gt;=1,MATCH(E116,$E$6:$E$1000,0),COUNTA(UNIQUE(E$6:E116))),"000"))</f>
        <v/>
      </c>
    </row>
    <row r="117" spans="4:4">
      <c r="D117" s="5" t="str">
        <f>IF(E117="","","EMP-" &amp; TEXT(IF(COUNTIF(E$6:E117,E117)&gt;=1,MATCH(E117,$E$6:$E$1000,0),COUNTA(UNIQUE(E$6:E117))),"000"))</f>
        <v/>
      </c>
    </row>
    <row r="118" spans="4:4">
      <c r="D118" s="5" t="str">
        <f>IF(E118="","","EMP-" &amp; TEXT(IF(COUNTIF(E$6:E118,E118)&gt;=1,MATCH(E118,$E$6:$E$1000,0),COUNTA(UNIQUE(E$6:E118))),"000"))</f>
        <v/>
      </c>
    </row>
    <row r="119" spans="4:4">
      <c r="D119" s="5" t="str">
        <f>IF(E119="","","EMP-" &amp; TEXT(IF(COUNTIF(E$6:E119,E119)&gt;=1,MATCH(E119,$E$6:$E$1000,0),COUNTA(UNIQUE(E$6:E119))),"000"))</f>
        <v/>
      </c>
    </row>
    <row r="120" spans="4:4">
      <c r="D120" s="5" t="str">
        <f>IF(E120="","","EMP-" &amp; TEXT(IF(COUNTIF(E$6:E120,E120)&gt;=1,MATCH(E120,$E$6:$E$1000,0),COUNTA(UNIQUE(E$6:E120))),"000"))</f>
        <v/>
      </c>
    </row>
    <row r="121" spans="4:4">
      <c r="D121" s="5" t="str">
        <f>IF(E121="","","EMP-" &amp; TEXT(IF(COUNTIF(E$6:E121,E121)&gt;=1,MATCH(E121,$E$6:$E$1000,0),COUNTA(UNIQUE(E$6:E121))),"000"))</f>
        <v/>
      </c>
    </row>
    <row r="122" spans="4:4">
      <c r="D122" s="5" t="str">
        <f>IF(E122="","","EMP-" &amp; TEXT(IF(COUNTIF(E$6:E122,E122)&gt;=1,MATCH(E122,$E$6:$E$1000,0),COUNTA(UNIQUE(E$6:E122))),"000"))</f>
        <v/>
      </c>
    </row>
    <row r="123" spans="4:4">
      <c r="D123" s="5" t="str">
        <f>IF(E123="","","EMP-" &amp; TEXT(IF(COUNTIF(E$6:E123,E123)&gt;=1,MATCH(E123,$E$6:$E$1000,0),COUNTA(UNIQUE(E$6:E123))),"000"))</f>
        <v/>
      </c>
    </row>
    <row r="124" spans="4:4">
      <c r="D124" s="5" t="str">
        <f>IF(E124="","","EMP-" &amp; TEXT(IF(COUNTIF(E$6:E124,E124)&gt;=1,MATCH(E124,$E$6:$E$1000,0),COUNTA(UNIQUE(E$6:E124))),"000"))</f>
        <v/>
      </c>
    </row>
    <row r="125" spans="4:4">
      <c r="D125" s="5" t="str">
        <f>IF(E125="","","EMP-" &amp; TEXT(IF(COUNTIF(E$6:E125,E125)&gt;=1,MATCH(E125,$E$6:$E$1000,0),COUNTA(UNIQUE(E$6:E125))),"000"))</f>
        <v/>
      </c>
    </row>
    <row r="126" spans="4:4">
      <c r="D126" s="5" t="str">
        <f>IF(E126="","","EMP-" &amp; TEXT(IF(COUNTIF(E$6:E126,E126)&gt;=1,MATCH(E126,$E$6:$E$1000,0),COUNTA(UNIQUE(E$6:E126))),"000"))</f>
        <v/>
      </c>
    </row>
    <row r="127" spans="4:4">
      <c r="D127" s="5" t="str">
        <f>IF(E127="","","EMP-" &amp; TEXT(IF(COUNTIF(E$6:E127,E127)&gt;=1,MATCH(E127,$E$6:$E$1000,0),COUNTA(UNIQUE(E$6:E127))),"000"))</f>
        <v/>
      </c>
    </row>
    <row r="128" spans="4:4">
      <c r="D128" s="5" t="str">
        <f>IF(E128="","","EMP-" &amp; TEXT(IF(COUNTIF(E$6:E128,E128)&gt;=1,MATCH(E128,$E$6:$E$1000,0),COUNTA(UNIQUE(E$6:E128))),"000"))</f>
        <v/>
      </c>
    </row>
    <row r="129" spans="4:4">
      <c r="D129" s="5" t="str">
        <f>IF(E129="","","EMP-" &amp; TEXT(IF(COUNTIF(E$6:E129,E129)&gt;=1,MATCH(E129,$E$6:$E$1000,0),COUNTA(UNIQUE(E$6:E129))),"000"))</f>
        <v/>
      </c>
    </row>
    <row r="130" spans="4:4">
      <c r="D130" s="5" t="str">
        <f>IF(E130="","","EMP-" &amp; TEXT(IF(COUNTIF(E$6:E130,E130)&gt;=1,MATCH(E130,$E$6:$E$1000,0),COUNTA(UNIQUE(E$6:E130))),"000"))</f>
        <v/>
      </c>
    </row>
    <row r="131" spans="4:4">
      <c r="D131" s="5" t="str">
        <f>IF(E131="","","EMP-" &amp; TEXT(IF(COUNTIF(E$6:E131,E131)&gt;=1,MATCH(E131,$E$6:$E$1000,0),COUNTA(UNIQUE(E$6:E131))),"000"))</f>
        <v/>
      </c>
    </row>
    <row r="132" spans="4:4">
      <c r="D132" s="5" t="str">
        <f>IF(E132="","","EMP-" &amp; TEXT(IF(COUNTIF(E$6:E132,E132)&gt;=1,MATCH(E132,$E$6:$E$1000,0),COUNTA(UNIQUE(E$6:E132))),"000"))</f>
        <v/>
      </c>
    </row>
    <row r="133" spans="4:4">
      <c r="D133" s="5" t="str">
        <f>IF(E133="","","EMP-" &amp; TEXT(IF(COUNTIF(E$6:E133,E133)&gt;=1,MATCH(E133,$E$6:$E$1000,0),COUNTA(UNIQUE(E$6:E133))),"000"))</f>
        <v/>
      </c>
    </row>
    <row r="134" spans="4:4">
      <c r="D134" s="5" t="str">
        <f>IF(E134="","","EMP-" &amp; TEXT(IF(COUNTIF(E$6:E134,E134)&gt;=1,MATCH(E134,$E$6:$E$1000,0),COUNTA(UNIQUE(E$6:E134))),"000"))</f>
        <v/>
      </c>
    </row>
    <row r="135" spans="4:4">
      <c r="D135" s="5" t="str">
        <f>IF(E135="","","EMP-" &amp; TEXT(IF(COUNTIF(E$6:E135,E135)&gt;=1,MATCH(E135,$E$6:$E$1000,0),COUNTA(UNIQUE(E$6:E135))),"000"))</f>
        <v/>
      </c>
    </row>
    <row r="136" spans="4:4">
      <c r="D136" s="5" t="str">
        <f>IF(E136="","","EMP-" &amp; TEXT(IF(COUNTIF(E$6:E136,E136)&gt;=1,MATCH(E136,$E$6:$E$1000,0),COUNTA(UNIQUE(E$6:E136))),"000"))</f>
        <v/>
      </c>
    </row>
    <row r="137" spans="4:4">
      <c r="D137" s="5" t="str">
        <f>IF(E137="","","EMP-" &amp; TEXT(IF(COUNTIF(E$6:E137,E137)&gt;=1,MATCH(E137,$E$6:$E$1000,0),COUNTA(UNIQUE(E$6:E137))),"000"))</f>
        <v/>
      </c>
    </row>
    <row r="138" spans="4:4">
      <c r="D138" s="5" t="str">
        <f>IF(E138="","","EMP-" &amp; TEXT(IF(COUNTIF(E$6:E138,E138)&gt;=1,MATCH(E138,$E$6:$E$1000,0),COUNTA(UNIQUE(E$6:E138))),"000"))</f>
        <v/>
      </c>
    </row>
    <row r="139" spans="4:4">
      <c r="D139" s="5" t="str">
        <f>IF(E139="","","EMP-" &amp; TEXT(IF(COUNTIF(E$6:E139,E139)&gt;=1,MATCH(E139,$E$6:$E$1000,0),COUNTA(UNIQUE(E$6:E139))),"000"))</f>
        <v/>
      </c>
    </row>
    <row r="140" spans="4:4">
      <c r="D140" s="5" t="str">
        <f>IF(E140="","","EMP-" &amp; TEXT(IF(COUNTIF(E$6:E140,E140)&gt;=1,MATCH(E140,$E$6:$E$1000,0),COUNTA(UNIQUE(E$6:E140))),"000"))</f>
        <v/>
      </c>
    </row>
    <row r="141" spans="4:4">
      <c r="D141" s="5" t="str">
        <f>IF(E141="","","EMP-" &amp; TEXT(IF(COUNTIF(E$6:E141,E141)&gt;=1,MATCH(E141,$E$6:$E$1000,0),COUNTA(UNIQUE(E$6:E141))),"000"))</f>
        <v/>
      </c>
    </row>
    <row r="142" spans="4:4">
      <c r="D142" s="5" t="str">
        <f>IF(E142="","","EMP-" &amp; TEXT(IF(COUNTIF(E$6:E142,E142)&gt;=1,MATCH(E142,$E$6:$E$1000,0),COUNTA(UNIQUE(E$6:E142))),"000"))</f>
        <v/>
      </c>
    </row>
    <row r="143" spans="4:4">
      <c r="D143" s="5" t="str">
        <f>IF(E143="","","EMP-" &amp; TEXT(IF(COUNTIF(E$6:E143,E143)&gt;=1,MATCH(E143,$E$6:$E$1000,0),COUNTA(UNIQUE(E$6:E143))),"000"))</f>
        <v/>
      </c>
    </row>
    <row r="144" spans="4:4">
      <c r="D144" s="5" t="str">
        <f>IF(E144="","","EMP-" &amp; TEXT(IF(COUNTIF(E$6:E144,E144)&gt;=1,MATCH(E144,$E$6:$E$1000,0),COUNTA(UNIQUE(E$6:E144))),"000"))</f>
        <v/>
      </c>
    </row>
    <row r="145" spans="4:4">
      <c r="D145" s="5" t="str">
        <f>IF(E145="","","EMP-" &amp; TEXT(IF(COUNTIF(E$6:E145,E145)&gt;=1,MATCH(E145,$E$6:$E$1000,0),COUNTA(UNIQUE(E$6:E145))),"000"))</f>
        <v/>
      </c>
    </row>
    <row r="146" spans="4:4">
      <c r="D146" s="5" t="str">
        <f>IF(E146="","","EMP-" &amp; TEXT(IF(COUNTIF(E$6:E146,E146)&gt;=1,MATCH(E146,$E$6:$E$1000,0),COUNTA(UNIQUE(E$6:E146))),"000"))</f>
        <v/>
      </c>
    </row>
    <row r="147" spans="4:4">
      <c r="D147" s="5" t="str">
        <f>IF(E147="","","EMP-" &amp; TEXT(IF(COUNTIF(E$6:E147,E147)&gt;=1,MATCH(E147,$E$6:$E$1000,0),COUNTA(UNIQUE(E$6:E147))),"000"))</f>
        <v/>
      </c>
    </row>
    <row r="148" spans="4:4">
      <c r="D148" s="5" t="str">
        <f>IF(E148="","","EMP-" &amp; TEXT(IF(COUNTIF(E$6:E148,E148)&gt;=1,MATCH(E148,$E$6:$E$1000,0),COUNTA(UNIQUE(E$6:E148))),"000"))</f>
        <v/>
      </c>
    </row>
    <row r="149" spans="4:4">
      <c r="D149" s="5" t="str">
        <f>IF(E149="","","EMP-" &amp; TEXT(IF(COUNTIF(E$6:E149,E149)&gt;=1,MATCH(E149,$E$6:$E$1000,0),COUNTA(UNIQUE(E$6:E149))),"000"))</f>
        <v/>
      </c>
    </row>
    <row r="150" spans="4:4">
      <c r="D150" s="5" t="str">
        <f>IF(E150="","","EMP-" &amp; TEXT(IF(COUNTIF(E$6:E150,E150)&gt;=1,MATCH(E150,$E$6:$E$1000,0),COUNTA(UNIQUE(E$6:E150))),"000"))</f>
        <v/>
      </c>
    </row>
    <row r="151" spans="4:4">
      <c r="D151" s="5" t="str">
        <f>IF(E151="","","EMP-" &amp; TEXT(IF(COUNTIF(E$6:E151,E151)&gt;=1,MATCH(E151,$E$6:$E$1000,0),COUNTA(UNIQUE(E$6:E151))),"000"))</f>
        <v/>
      </c>
    </row>
    <row r="152" spans="4:4">
      <c r="D152" s="5" t="str">
        <f>IF(E152="","","EMP-" &amp; TEXT(IF(COUNTIF(E$6:E152,E152)&gt;=1,MATCH(E152,$E$6:$E$1000,0),COUNTA(UNIQUE(E$6:E152))),"000"))</f>
        <v/>
      </c>
    </row>
    <row r="153" spans="4:4">
      <c r="D153" s="5" t="str">
        <f>IF(E153="","","EMP-" &amp; TEXT(IF(COUNTIF(E$6:E153,E153)&gt;=1,MATCH(E153,$E$6:$E$1000,0),COUNTA(UNIQUE(E$6:E153))),"000"))</f>
        <v/>
      </c>
    </row>
    <row r="154" spans="4:4">
      <c r="D154" s="5" t="str">
        <f>IF(E154="","","EMP-" &amp; TEXT(IF(COUNTIF(E$6:E154,E154)&gt;=1,MATCH(E154,$E$6:$E$1000,0),COUNTA(UNIQUE(E$6:E154))),"000"))</f>
        <v/>
      </c>
    </row>
    <row r="155" spans="4:4">
      <c r="D155" s="5" t="str">
        <f>IF(E155="","","EMP-" &amp; TEXT(IF(COUNTIF(E$6:E155,E155)&gt;=1,MATCH(E155,$E$6:$E$1000,0),COUNTA(UNIQUE(E$6:E155))),"000"))</f>
        <v/>
      </c>
    </row>
    <row r="156" spans="4:4">
      <c r="D156" s="5" t="str">
        <f>IF(E156="","","EMP-" &amp; TEXT(IF(COUNTIF(E$6:E156,E156)&gt;=1,MATCH(E156,$E$6:$E$1000,0),COUNTA(UNIQUE(E$6:E156))),"000"))</f>
        <v/>
      </c>
    </row>
    <row r="157" spans="4:4">
      <c r="D157" s="5" t="str">
        <f>IF(E157="","","EMP-" &amp; TEXT(IF(COUNTIF(E$6:E157,E157)&gt;=1,MATCH(E157,$E$6:$E$1000,0),COUNTA(UNIQUE(E$6:E157))),"000"))</f>
        <v/>
      </c>
    </row>
    <row r="158" spans="4:4">
      <c r="D158" s="5" t="str">
        <f>IF(E158="","","EMP-" &amp; TEXT(IF(COUNTIF(E$6:E158,E158)&gt;=1,MATCH(E158,$E$6:$E$1000,0),COUNTA(UNIQUE(E$6:E158))),"000"))</f>
        <v/>
      </c>
    </row>
    <row r="159" spans="4:4">
      <c r="D159" s="5" t="str">
        <f>IF(E159="","","EMP-" &amp; TEXT(IF(COUNTIF(E$6:E159,E159)&gt;=1,MATCH(E159,$E$6:$E$1000,0),COUNTA(UNIQUE(E$6:E159))),"000"))</f>
        <v/>
      </c>
    </row>
    <row r="160" spans="4:4">
      <c r="D160" s="5" t="str">
        <f>IF(E160="","","EMP-" &amp; TEXT(IF(COUNTIF(E$6:E160,E160)&gt;=1,MATCH(E160,$E$6:$E$1000,0),COUNTA(UNIQUE(E$6:E160))),"000"))</f>
        <v/>
      </c>
    </row>
    <row r="161" spans="4:4">
      <c r="D161" s="5" t="str">
        <f>IF(E161="","","EMP-" &amp; TEXT(IF(COUNTIF(E$6:E161,E161)&gt;=1,MATCH(E161,$E$6:$E$1000,0),COUNTA(UNIQUE(E$6:E161))),"000"))</f>
        <v/>
      </c>
    </row>
    <row r="162" spans="4:4">
      <c r="D162" s="5" t="str">
        <f>IF(E162="","","EMP-" &amp; TEXT(IF(COUNTIF(E$6:E162,E162)&gt;=1,MATCH(E162,$E$6:$E$1000,0),COUNTA(UNIQUE(E$6:E162))),"000"))</f>
        <v/>
      </c>
    </row>
    <row r="163" spans="4:4">
      <c r="D163" s="5" t="str">
        <f>IF(E163="","","EMP-" &amp; TEXT(IF(COUNTIF(E$6:E163,E163)&gt;=1,MATCH(E163,$E$6:$E$1000,0),COUNTA(UNIQUE(E$6:E163))),"000"))</f>
        <v/>
      </c>
    </row>
    <row r="164" spans="4:4">
      <c r="D164" s="5" t="str">
        <f>IF(E164="","","EMP-" &amp; TEXT(IF(COUNTIF(E$6:E164,E164)&gt;=1,MATCH(E164,$E$6:$E$1000,0),COUNTA(UNIQUE(E$6:E164))),"000"))</f>
        <v/>
      </c>
    </row>
    <row r="165" spans="4:4">
      <c r="D165" s="5" t="str">
        <f>IF(E165="","","EMP-" &amp; TEXT(IF(COUNTIF(E$6:E165,E165)&gt;=1,MATCH(E165,$E$6:$E$1000,0),COUNTA(UNIQUE(E$6:E165))),"000"))</f>
        <v/>
      </c>
    </row>
    <row r="166" spans="4:4">
      <c r="D166" s="5" t="str">
        <f>IF(E166="","","EMP-" &amp; TEXT(IF(COUNTIF(E$6:E166,E166)&gt;=1,MATCH(E166,$E$6:$E$1000,0),COUNTA(UNIQUE(E$6:E166))),"000"))</f>
        <v/>
      </c>
    </row>
    <row r="167" spans="4:4">
      <c r="D167" s="5" t="str">
        <f>IF(E167="","","EMP-" &amp; TEXT(IF(COUNTIF(E$6:E167,E167)&gt;=1,MATCH(E167,$E$6:$E$1000,0),COUNTA(UNIQUE(E$6:E167))),"000"))</f>
        <v/>
      </c>
    </row>
    <row r="168" spans="4:4">
      <c r="D168" s="5" t="str">
        <f>IF(E168="","","EMP-" &amp; TEXT(IF(COUNTIF(E$6:E168,E168)&gt;=1,MATCH(E168,$E$6:$E$1000,0),COUNTA(UNIQUE(E$6:E168))),"000"))</f>
        <v/>
      </c>
    </row>
    <row r="169" spans="4:4">
      <c r="D169" s="5" t="str">
        <f>IF(E169="","","EMP-" &amp; TEXT(IF(COUNTIF(E$6:E169,E169)&gt;=1,MATCH(E169,$E$6:$E$1000,0),COUNTA(UNIQUE(E$6:E169))),"000"))</f>
        <v/>
      </c>
    </row>
    <row r="170" spans="4:4">
      <c r="D170" s="5" t="str">
        <f>IF(E170="","","EMP-" &amp; TEXT(IF(COUNTIF(E$6:E170,E170)&gt;=1,MATCH(E170,$E$6:$E$1000,0),COUNTA(UNIQUE(E$6:E170))),"000"))</f>
        <v/>
      </c>
    </row>
    <row r="171" spans="4:4">
      <c r="D171" s="5" t="str">
        <f>IF(E171="","","EMP-" &amp; TEXT(IF(COUNTIF(E$6:E171,E171)&gt;=1,MATCH(E171,$E$6:$E$1000,0),COUNTA(UNIQUE(E$6:E171))),"000"))</f>
        <v/>
      </c>
    </row>
    <row r="172" spans="4:4">
      <c r="D172" s="5" t="str">
        <f>IF(E172="","","EMP-" &amp; TEXT(IF(COUNTIF(E$6:E172,E172)&gt;=1,MATCH(E172,$E$6:$E$1000,0),COUNTA(UNIQUE(E$6:E172))),"000"))</f>
        <v/>
      </c>
    </row>
    <row r="173" spans="4:4">
      <c r="D173" s="5" t="str">
        <f>IF(E173="","","EMP-" &amp; TEXT(IF(COUNTIF(E$6:E173,E173)&gt;=1,MATCH(E173,$E$6:$E$1000,0),COUNTA(UNIQUE(E$6:E173))),"000"))</f>
        <v/>
      </c>
    </row>
    <row r="174" spans="4:4">
      <c r="D174" s="5" t="str">
        <f>IF(E174="","","EMP-" &amp; TEXT(IF(COUNTIF(E$6:E174,E174)&gt;=1,MATCH(E174,$E$6:$E$1000,0),COUNTA(UNIQUE(E$6:E174))),"000"))</f>
        <v/>
      </c>
    </row>
    <row r="175" spans="4:4">
      <c r="D175" s="5" t="str">
        <f>IF(E175="","","EMP-" &amp; TEXT(IF(COUNTIF(E$6:E175,E175)&gt;=1,MATCH(E175,$E$6:$E$1000,0),COUNTA(UNIQUE(E$6:E175))),"000"))</f>
        <v/>
      </c>
    </row>
    <row r="176" spans="4:4">
      <c r="D176" s="5" t="str">
        <f>IF(E176="","","EMP-" &amp; TEXT(IF(COUNTIF(E$6:E176,E176)&gt;=1,MATCH(E176,$E$6:$E$1000,0),COUNTA(UNIQUE(E$6:E176))),"000"))</f>
        <v/>
      </c>
    </row>
    <row r="177" spans="4:4">
      <c r="D177" s="5" t="str">
        <f>IF(E177="","","EMP-" &amp; TEXT(IF(COUNTIF(E$6:E177,E177)&gt;=1,MATCH(E177,$E$6:$E$1000,0),COUNTA(UNIQUE(E$6:E177))),"000"))</f>
        <v/>
      </c>
    </row>
    <row r="178" spans="4:4">
      <c r="D178" s="5" t="str">
        <f>IF(E178="","","EMP-" &amp; TEXT(IF(COUNTIF(E$6:E178,E178)&gt;=1,MATCH(E178,$E$6:$E$1000,0),COUNTA(UNIQUE(E$6:E178))),"000"))</f>
        <v/>
      </c>
    </row>
    <row r="179" spans="4:4">
      <c r="D179" s="5" t="str">
        <f>IF(E179="","","EMP-" &amp; TEXT(IF(COUNTIF(E$6:E179,E179)&gt;=1,MATCH(E179,$E$6:$E$1000,0),COUNTA(UNIQUE(E$6:E179))),"000"))</f>
        <v/>
      </c>
    </row>
    <row r="180" spans="4:4">
      <c r="D180" s="5" t="str">
        <f>IF(E180="","","EMP-" &amp; TEXT(IF(COUNTIF(E$6:E180,E180)&gt;=1,MATCH(E180,$E$6:$E$1000,0),COUNTA(UNIQUE(E$6:E180))),"000"))</f>
        <v/>
      </c>
    </row>
    <row r="181" spans="4:4">
      <c r="D181" s="5" t="str">
        <f>IF(E181="","","EMP-" &amp; TEXT(IF(COUNTIF(E$6:E181,E181)&gt;=1,MATCH(E181,$E$6:$E$1000,0),COUNTA(UNIQUE(E$6:E181))),"000"))</f>
        <v/>
      </c>
    </row>
    <row r="182" spans="4:4">
      <c r="D182" s="5" t="str">
        <f>IF(E182="","","EMP-" &amp; TEXT(IF(COUNTIF(E$6:E182,E182)&gt;=1,MATCH(E182,$E$6:$E$1000,0),COUNTA(UNIQUE(E$6:E182))),"000"))</f>
        <v/>
      </c>
    </row>
    <row r="183" spans="4:4">
      <c r="D183" s="5" t="str">
        <f>IF(E183="","","EMP-" &amp; TEXT(IF(COUNTIF(E$6:E183,E183)&gt;=1,MATCH(E183,$E$6:$E$1000,0),COUNTA(UNIQUE(E$6:E183))),"000"))</f>
        <v/>
      </c>
    </row>
    <row r="184" spans="4:4">
      <c r="D184" s="5" t="str">
        <f>IF(E184="","","EMP-" &amp; TEXT(IF(COUNTIF(E$6:E184,E184)&gt;=1,MATCH(E184,$E$6:$E$1000,0),COUNTA(UNIQUE(E$6:E184))),"000"))</f>
        <v/>
      </c>
    </row>
    <row r="185" spans="4:4">
      <c r="D185" s="5" t="str">
        <f>IF(E185="","","EMP-" &amp; TEXT(IF(COUNTIF(E$6:E185,E185)&gt;=1,MATCH(E185,$E$6:$E$1000,0),COUNTA(UNIQUE(E$6:E185))),"000"))</f>
        <v/>
      </c>
    </row>
    <row r="186" spans="4:4">
      <c r="D186" s="5" t="str">
        <f>IF(E186="","","EMP-" &amp; TEXT(IF(COUNTIF(E$6:E186,E186)&gt;=1,MATCH(E186,$E$6:$E$1000,0),COUNTA(UNIQUE(E$6:E186))),"000"))</f>
        <v/>
      </c>
    </row>
    <row r="187" spans="4:4">
      <c r="D187" s="5" t="str">
        <f>IF(E187="","","EMP-" &amp; TEXT(IF(COUNTIF(E$6:E187,E187)&gt;=1,MATCH(E187,$E$6:$E$1000,0),COUNTA(UNIQUE(E$6:E187))),"000"))</f>
        <v/>
      </c>
    </row>
    <row r="188" spans="4:4">
      <c r="D188" s="5" t="str">
        <f>IF(E188="","","EMP-" &amp; TEXT(IF(COUNTIF(E$6:E188,E188)&gt;=1,MATCH(E188,$E$6:$E$1000,0),COUNTA(UNIQUE(E$6:E188))),"000"))</f>
        <v/>
      </c>
    </row>
    <row r="189" spans="4:4">
      <c r="D189" s="5" t="str">
        <f>IF(E189="","","EMP-" &amp; TEXT(IF(COUNTIF(E$6:E189,E189)&gt;=1,MATCH(E189,$E$6:$E$1000,0),COUNTA(UNIQUE(E$6:E189))),"000"))</f>
        <v/>
      </c>
    </row>
    <row r="190" spans="4:4">
      <c r="D190" s="5" t="str">
        <f>IF(E190="","","EMP-" &amp; TEXT(IF(COUNTIF(E$6:E190,E190)&gt;=1,MATCH(E190,$E$6:$E$1000,0),COUNTA(UNIQUE(E$6:E190))),"000"))</f>
        <v/>
      </c>
    </row>
    <row r="191" spans="4:4">
      <c r="D191" s="5" t="str">
        <f>IF(E191="","","EMP-" &amp; TEXT(IF(COUNTIF(E$6:E191,E191)&gt;=1,MATCH(E191,$E$6:$E$1000,0),COUNTA(UNIQUE(E$6:E191))),"000"))</f>
        <v/>
      </c>
    </row>
    <row r="192" spans="4:4">
      <c r="D192" s="5" t="str">
        <f>IF(E192="","","EMP-" &amp; TEXT(IF(COUNTIF(E$6:E192,E192)&gt;=1,MATCH(E192,$E$6:$E$1000,0),COUNTA(UNIQUE(E$6:E192))),"000"))</f>
        <v/>
      </c>
    </row>
    <row r="193" spans="4:4">
      <c r="D193" s="5" t="str">
        <f>IF(E193="","","EMP-" &amp; TEXT(IF(COUNTIF(E$6:E193,E193)&gt;=1,MATCH(E193,$E$6:$E$1000,0),COUNTA(UNIQUE(E$6:E193))),"000"))</f>
        <v/>
      </c>
    </row>
    <row r="194" spans="4:4">
      <c r="D194" s="5" t="str">
        <f>IF(E194="","","EMP-" &amp; TEXT(IF(COUNTIF(E$6:E194,E194)&gt;=1,MATCH(E194,$E$6:$E$1000,0),COUNTA(UNIQUE(E$6:E194))),"000"))</f>
        <v/>
      </c>
    </row>
    <row r="195" spans="4:4">
      <c r="D195" s="5" t="str">
        <f>IF(E195="","","EMP-" &amp; TEXT(IF(COUNTIF(E$6:E195,E195)&gt;=1,MATCH(E195,$E$6:$E$1000,0),COUNTA(UNIQUE(E$6:E195))),"000"))</f>
        <v/>
      </c>
    </row>
    <row r="196" spans="4:4">
      <c r="D196" s="5" t="str">
        <f>IF(E196="","","EMP-" &amp; TEXT(IF(COUNTIF(E$6:E196,E196)&gt;=1,MATCH(E196,$E$6:$E$1000,0),COUNTA(UNIQUE(E$6:E196))),"000"))</f>
        <v/>
      </c>
    </row>
    <row r="197" spans="4:4">
      <c r="D197" s="5" t="str">
        <f>IF(E197="","","EMP-" &amp; TEXT(IF(COUNTIF(E$6:E197,E197)&gt;=1,MATCH(E197,$E$6:$E$1000,0),COUNTA(UNIQUE(E$6:E197))),"000"))</f>
        <v/>
      </c>
    </row>
    <row r="198" spans="4:4">
      <c r="D198" s="5" t="str">
        <f>IF(E198="","","EMP-" &amp; TEXT(IF(COUNTIF(E$6:E198,E198)&gt;=1,MATCH(E198,$E$6:$E$1000,0),COUNTA(UNIQUE(E$6:E198))),"000"))</f>
        <v/>
      </c>
    </row>
    <row r="199" spans="4:4">
      <c r="D199" s="5" t="str">
        <f>IF(E199="","","EMP-" &amp; TEXT(IF(COUNTIF(E$6:E199,E199)&gt;=1,MATCH(E199,$E$6:$E$1000,0),COUNTA(UNIQUE(E$6:E199))),"000"))</f>
        <v/>
      </c>
    </row>
    <row r="200" spans="4:4">
      <c r="D200" s="5" t="str">
        <f>IF(E200="","","EMP-" &amp; TEXT(IF(COUNTIF(E$6:E200,E200)&gt;=1,MATCH(E200,$E$6:$E$1000,0),COUNTA(UNIQUE(E$6:E200))),"000"))</f>
        <v/>
      </c>
    </row>
    <row r="201" spans="4:4">
      <c r="D201" s="5" t="str">
        <f>IF(E201="","","EMP-" &amp; TEXT(IF(COUNTIF(E$6:E201,E201)&gt;=1,MATCH(E201,$E$6:$E$1000,0),COUNTA(UNIQUE(E$6:E201))),"000"))</f>
        <v/>
      </c>
    </row>
    <row r="202" spans="4:4">
      <c r="D202" s="5" t="str">
        <f>IF(E202="","","EMP-" &amp; TEXT(IF(COUNTIF(E$6:E202,E202)&gt;=1,MATCH(E202,$E$6:$E$1000,0),COUNTA(UNIQUE(E$6:E202))),"000"))</f>
        <v/>
      </c>
    </row>
    <row r="203" spans="4:4">
      <c r="D203" s="5" t="str">
        <f>IF(E203="","","EMP-" &amp; TEXT(IF(COUNTIF(E$6:E203,E203)&gt;=1,MATCH(E203,$E$6:$E$1000,0),COUNTA(UNIQUE(E$6:E203))),"000"))</f>
        <v/>
      </c>
    </row>
    <row r="204" spans="4:4">
      <c r="D204" s="5" t="str">
        <f>IF(E204="","","EMP-" &amp; TEXT(IF(COUNTIF(E$6:E204,E204)&gt;=1,MATCH(E204,$E$6:$E$1000,0),COUNTA(UNIQUE(E$6:E204))),"000"))</f>
        <v/>
      </c>
    </row>
    <row r="205" spans="4:4">
      <c r="D205" s="5" t="str">
        <f>IF(E205="","","EMP-" &amp; TEXT(IF(COUNTIF(E$6:E205,E205)&gt;=1,MATCH(E205,$E$6:$E$1000,0),COUNTA(UNIQUE(E$6:E205))),"000"))</f>
        <v/>
      </c>
    </row>
    <row r="206" spans="4:4">
      <c r="D206" s="5" t="str">
        <f>IF(E206="","","EMP-" &amp; TEXT(IF(COUNTIF(E$6:E206,E206)&gt;=1,MATCH(E206,$E$6:$E$1000,0),COUNTA(UNIQUE(E$6:E206))),"000"))</f>
        <v/>
      </c>
    </row>
    <row r="207" spans="4:4">
      <c r="D207" s="5" t="str">
        <f>IF(E207="","","EMP-" &amp; TEXT(IF(COUNTIF(E$6:E207,E207)&gt;=1,MATCH(E207,$E$6:$E$1000,0),COUNTA(UNIQUE(E$6:E207))),"000"))</f>
        <v/>
      </c>
    </row>
    <row r="208" spans="4:4">
      <c r="D208" s="5" t="str">
        <f>IF(E208="","","EMP-" &amp; TEXT(IF(COUNTIF(E$6:E208,E208)&gt;=1,MATCH(E208,$E$6:$E$1000,0),COUNTA(UNIQUE(E$6:E208))),"000"))</f>
        <v/>
      </c>
    </row>
    <row r="209" spans="4:4">
      <c r="D209" s="5" t="str">
        <f>IF(E209="","","EMP-" &amp; TEXT(IF(COUNTIF(E$6:E209,E209)&gt;=1,MATCH(E209,$E$6:$E$1000,0),COUNTA(UNIQUE(E$6:E209))),"000"))</f>
        <v/>
      </c>
    </row>
    <row r="210" spans="4:4">
      <c r="D210" s="5" t="str">
        <f>IF(E210="","","EMP-" &amp; TEXT(IF(COUNTIF(E$6:E210,E210)&gt;=1,MATCH(E210,$E$6:$E$1000,0),COUNTA(UNIQUE(E$6:E210))),"000"))</f>
        <v/>
      </c>
    </row>
    <row r="211" spans="4:4">
      <c r="D211" s="5" t="str">
        <f>IF(E211="","","EMP-" &amp; TEXT(IF(COUNTIF(E$6:E211,E211)&gt;=1,MATCH(E211,$E$6:$E$1000,0),COUNTA(UNIQUE(E$6:E211))),"000"))</f>
        <v/>
      </c>
    </row>
    <row r="212" spans="4:4">
      <c r="D212" s="5" t="str">
        <f>IF(E212="","","EMP-" &amp; TEXT(IF(COUNTIF(E$6:E212,E212)&gt;=1,MATCH(E212,$E$6:$E$1000,0),COUNTA(UNIQUE(E$6:E212))),"000"))</f>
        <v/>
      </c>
    </row>
    <row r="213" spans="4:4">
      <c r="D213" s="5" t="str">
        <f>IF(E213="","","EMP-" &amp; TEXT(IF(COUNTIF(E$6:E213,E213)&gt;=1,MATCH(E213,$E$6:$E$1000,0),COUNTA(UNIQUE(E$6:E213))),"000"))</f>
        <v/>
      </c>
    </row>
    <row r="214" spans="4:4">
      <c r="D214" s="5" t="str">
        <f>IF(E214="","","EMP-" &amp; TEXT(IF(COUNTIF(E$6:E214,E214)&gt;=1,MATCH(E214,$E$6:$E$1000,0),COUNTA(UNIQUE(E$6:E214))),"000"))</f>
        <v/>
      </c>
    </row>
    <row r="215" spans="4:4">
      <c r="D215" s="5" t="str">
        <f>IF(E215="","","EMP-" &amp; TEXT(IF(COUNTIF(E$6:E215,E215)&gt;=1,MATCH(E215,$E$6:$E$1000,0),COUNTA(UNIQUE(E$6:E215))),"000"))</f>
        <v/>
      </c>
    </row>
    <row r="216" spans="4:4">
      <c r="D216" s="5" t="str">
        <f>IF(E216="","","EMP-" &amp; TEXT(IF(COUNTIF(E$6:E216,E216)&gt;=1,MATCH(E216,$E$6:$E$1000,0),COUNTA(UNIQUE(E$6:E216))),"000"))</f>
        <v/>
      </c>
    </row>
    <row r="217" spans="4:4">
      <c r="D217" s="5" t="str">
        <f>IF(E217="","","EMP-" &amp; TEXT(IF(COUNTIF(E$6:E217,E217)&gt;=1,MATCH(E217,$E$6:$E$1000,0),COUNTA(UNIQUE(E$6:E217))),"000"))</f>
        <v/>
      </c>
    </row>
    <row r="218" spans="4:4">
      <c r="D218" s="5" t="str">
        <f>IF(E218="","","EMP-" &amp; TEXT(IF(COUNTIF(E$6:E218,E218)&gt;=1,MATCH(E218,$E$6:$E$1000,0),COUNTA(UNIQUE(E$6:E218))),"000"))</f>
        <v/>
      </c>
    </row>
    <row r="219" spans="4:4">
      <c r="D219" s="5" t="str">
        <f>IF(E219="","","EMP-" &amp; TEXT(IF(COUNTIF(E$6:E219,E219)&gt;=1,MATCH(E219,$E$6:$E$1000,0),COUNTA(UNIQUE(E$6:E219))),"000"))</f>
        <v/>
      </c>
    </row>
    <row r="220" spans="4:4">
      <c r="D220" s="5" t="str">
        <f>IF(E220="","","EMP-" &amp; TEXT(IF(COUNTIF(E$6:E220,E220)&gt;=1,MATCH(E220,$E$6:$E$1000,0),COUNTA(UNIQUE(E$6:E220))),"000"))</f>
        <v/>
      </c>
    </row>
    <row r="221" spans="4:4">
      <c r="D221" s="5" t="str">
        <f>IF(E221="","","EMP-" &amp; TEXT(IF(COUNTIF(E$6:E221,E221)&gt;=1,MATCH(E221,$E$6:$E$1000,0),COUNTA(UNIQUE(E$6:E221))),"000"))</f>
        <v/>
      </c>
    </row>
    <row r="222" spans="4:4">
      <c r="D222" s="5" t="str">
        <f>IF(E222="","","EMP-" &amp; TEXT(IF(COUNTIF(E$6:E222,E222)&gt;=1,MATCH(E222,$E$6:$E$1000,0),COUNTA(UNIQUE(E$6:E222))),"000"))</f>
        <v/>
      </c>
    </row>
    <row r="223" spans="4:4">
      <c r="D223" s="5" t="str">
        <f>IF(E223="","","EMP-" &amp; TEXT(IF(COUNTIF(E$6:E223,E223)&gt;=1,MATCH(E223,$E$6:$E$1000,0),COUNTA(UNIQUE(E$6:E223))),"000"))</f>
        <v/>
      </c>
    </row>
    <row r="224" spans="4:4">
      <c r="D224" s="5" t="str">
        <f>IF(E224="","","EMP-" &amp; TEXT(IF(COUNTIF(E$6:E224,E224)&gt;=1,MATCH(E224,$E$6:$E$1000,0),COUNTA(UNIQUE(E$6:E224))),"000"))</f>
        <v/>
      </c>
    </row>
    <row r="225" spans="4:4">
      <c r="D225" s="5" t="str">
        <f>IF(E225="","","EMP-" &amp; TEXT(IF(COUNTIF(E$6:E225,E225)&gt;=1,MATCH(E225,$E$6:$E$1000,0),COUNTA(UNIQUE(E$6:E225))),"000"))</f>
        <v/>
      </c>
    </row>
    <row r="226" spans="4:4">
      <c r="D226" s="5" t="str">
        <f>IF(E226="","","EMP-" &amp; TEXT(IF(COUNTIF(E$6:E226,E226)&gt;=1,MATCH(E226,$E$6:$E$1000,0),COUNTA(UNIQUE(E$6:E226))),"000"))</f>
        <v/>
      </c>
    </row>
    <row r="227" spans="4:4">
      <c r="D227" s="5" t="str">
        <f>IF(E227="","","EMP-" &amp; TEXT(IF(COUNTIF(E$6:E227,E227)&gt;=1,MATCH(E227,$E$6:$E$1000,0),COUNTA(UNIQUE(E$6:E227))),"000"))</f>
        <v/>
      </c>
    </row>
    <row r="228" spans="4:4">
      <c r="D228" s="5" t="str">
        <f>IF(E228="","","EMP-" &amp; TEXT(IF(COUNTIF(E$6:E228,E228)&gt;=1,MATCH(E228,$E$6:$E$1000,0),COUNTA(UNIQUE(E$6:E228))),"000"))</f>
        <v/>
      </c>
    </row>
    <row r="229" spans="4:4">
      <c r="D229" s="5" t="str">
        <f>IF(E229="","","EMP-" &amp; TEXT(IF(COUNTIF(E$6:E229,E229)&gt;=1,MATCH(E229,$E$6:$E$1000,0),COUNTA(UNIQUE(E$6:E229))),"000"))</f>
        <v/>
      </c>
    </row>
    <row r="230" spans="4:4">
      <c r="D230" s="5" t="str">
        <f>IF(E230="","","EMP-" &amp; TEXT(IF(COUNTIF(E$6:E230,E230)&gt;=1,MATCH(E230,$E$6:$E$1000,0),COUNTA(UNIQUE(E$6:E230))),"000"))</f>
        <v/>
      </c>
    </row>
    <row r="231" spans="4:4">
      <c r="D231" s="5" t="str">
        <f>IF(E231="","","EMP-" &amp; TEXT(IF(COUNTIF(E$6:E231,E231)&gt;=1,MATCH(E231,$E$6:$E$1000,0),COUNTA(UNIQUE(E$6:E231))),"000"))</f>
        <v/>
      </c>
    </row>
    <row r="232" spans="4:4">
      <c r="D232" s="5" t="str">
        <f>IF(E232="","","EMP-" &amp; TEXT(IF(COUNTIF(E$6:E232,E232)&gt;=1,MATCH(E232,$E$6:$E$1000,0),COUNTA(UNIQUE(E$6:E232))),"000"))</f>
        <v/>
      </c>
    </row>
    <row r="233" spans="4:4">
      <c r="D233" s="5" t="str">
        <f>IF(E233="","","EMP-" &amp; TEXT(IF(COUNTIF(E$6:E233,E233)&gt;=1,MATCH(E233,$E$6:$E$1000,0),COUNTA(UNIQUE(E$6:E233))),"000"))</f>
        <v/>
      </c>
    </row>
    <row r="234" spans="4:4">
      <c r="D234" s="5" t="str">
        <f>IF(E234="","","EMP-" &amp; TEXT(IF(COUNTIF(E$6:E234,E234)&gt;=1,MATCH(E234,$E$6:$E$1000,0),COUNTA(UNIQUE(E$6:E234))),"000"))</f>
        <v/>
      </c>
    </row>
    <row r="235" spans="4:4">
      <c r="D235" s="5" t="str">
        <f>IF(E235="","","EMP-" &amp; TEXT(IF(COUNTIF(E$6:E235,E235)&gt;=1,MATCH(E235,$E$6:$E$1000,0),COUNTA(UNIQUE(E$6:E235))),"000"))</f>
        <v/>
      </c>
    </row>
    <row r="236" spans="4:4">
      <c r="D236" s="5" t="str">
        <f>IF(E236="","","EMP-" &amp; TEXT(IF(COUNTIF(E$6:E236,E236)&gt;=1,MATCH(E236,$E$6:$E$1000,0),COUNTA(UNIQUE(E$6:E236))),"000"))</f>
        <v/>
      </c>
    </row>
    <row r="237" spans="4:4">
      <c r="D237" s="5" t="str">
        <f>IF(E237="","","EMP-" &amp; TEXT(IF(COUNTIF(E$6:E237,E237)&gt;=1,MATCH(E237,$E$6:$E$1000,0),COUNTA(UNIQUE(E$6:E237))),"000"))</f>
        <v/>
      </c>
    </row>
    <row r="238" spans="4:4">
      <c r="D238" s="5" t="str">
        <f>IF(E238="","","EMP-" &amp; TEXT(IF(COUNTIF(E$6:E238,E238)&gt;=1,MATCH(E238,$E$6:$E$1000,0),COUNTA(UNIQUE(E$6:E238))),"000"))</f>
        <v/>
      </c>
    </row>
    <row r="239" spans="4:4">
      <c r="D239" s="5" t="str">
        <f>IF(E239="","","EMP-" &amp; TEXT(IF(COUNTIF(E$6:E239,E239)&gt;=1,MATCH(E239,$E$6:$E$1000,0),COUNTA(UNIQUE(E$6:E239))),"000"))</f>
        <v/>
      </c>
    </row>
    <row r="240" spans="4:4">
      <c r="D240" s="5" t="str">
        <f>IF(E240="","","EMP-" &amp; TEXT(IF(COUNTIF(E$6:E240,E240)&gt;=1,MATCH(E240,$E$6:$E$1000,0),COUNTA(UNIQUE(E$6:E240))),"000"))</f>
        <v/>
      </c>
    </row>
    <row r="241" spans="4:4">
      <c r="D241" s="5" t="str">
        <f>IF(E241="","","EMP-" &amp; TEXT(IF(COUNTIF(E$6:E241,E241)&gt;=1,MATCH(E241,$E$6:$E$1000,0),COUNTA(UNIQUE(E$6:E241))),"000"))</f>
        <v/>
      </c>
    </row>
    <row r="242" spans="4:4">
      <c r="D242" s="5" t="str">
        <f>IF(E242="","","EMP-" &amp; TEXT(IF(COUNTIF(E$6:E242,E242)&gt;=1,MATCH(E242,$E$6:$E$1000,0),COUNTA(UNIQUE(E$6:E242))),"000"))</f>
        <v/>
      </c>
    </row>
    <row r="243" spans="4:4">
      <c r="D243" s="5" t="str">
        <f>IF(E243="","","EMP-" &amp; TEXT(IF(COUNTIF(E$6:E243,E243)&gt;=1,MATCH(E243,$E$6:$E$1000,0),COUNTA(UNIQUE(E$6:E243))),"000"))</f>
        <v/>
      </c>
    </row>
    <row r="244" spans="4:4">
      <c r="D244" s="5" t="str">
        <f>IF(E244="","","EMP-" &amp; TEXT(IF(COUNTIF(E$6:E244,E244)&gt;=1,MATCH(E244,$E$6:$E$1000,0),COUNTA(UNIQUE(E$6:E244))),"000"))</f>
        <v/>
      </c>
    </row>
    <row r="245" spans="4:4">
      <c r="D245" s="5" t="str">
        <f>IF(E245="","","EMP-" &amp; TEXT(IF(COUNTIF(E$6:E245,E245)&gt;=1,MATCH(E245,$E$6:$E$1000,0),COUNTA(UNIQUE(E$6:E245))),"000"))</f>
        <v/>
      </c>
    </row>
    <row r="246" spans="4:4">
      <c r="D246" s="5" t="str">
        <f>IF(E246="","","EMP-" &amp; TEXT(IF(COUNTIF(E$6:E246,E246)&gt;=1,MATCH(E246,$E$6:$E$1000,0),COUNTA(UNIQUE(E$6:E246))),"000"))</f>
        <v/>
      </c>
    </row>
    <row r="247" spans="4:4">
      <c r="D247" s="5" t="str">
        <f>IF(E247="","","EMP-" &amp; TEXT(IF(COUNTIF(E$6:E247,E247)&gt;=1,MATCH(E247,$E$6:$E$1000,0),COUNTA(UNIQUE(E$6:E247))),"000"))</f>
        <v/>
      </c>
    </row>
    <row r="248" spans="4:4">
      <c r="D248" s="5" t="str">
        <f>IF(E248="","","EMP-" &amp; TEXT(IF(COUNTIF(E$6:E248,E248)&gt;=1,MATCH(E248,$E$6:$E$1000,0),COUNTA(UNIQUE(E$6:E248))),"000"))</f>
        <v/>
      </c>
    </row>
    <row r="249" spans="4:4">
      <c r="D249" s="5" t="str">
        <f>IF(E249="","","EMP-" &amp; TEXT(IF(COUNTIF(E$6:E249,E249)&gt;=1,MATCH(E249,$E$6:$E$1000,0),COUNTA(UNIQUE(E$6:E249))),"000"))</f>
        <v/>
      </c>
    </row>
    <row r="250" spans="4:4">
      <c r="D250" s="5" t="str">
        <f>IF(E250="","","EMP-" &amp; TEXT(IF(COUNTIF(E$6:E250,E250)&gt;=1,MATCH(E250,$E$6:$E$1000,0),COUNTA(UNIQUE(E$6:E250))),"000"))</f>
        <v/>
      </c>
    </row>
    <row r="251" spans="4:4">
      <c r="D251" s="5" t="str">
        <f>IF(E251="","","EMP-" &amp; TEXT(IF(COUNTIF(E$6:E251,E251)&gt;=1,MATCH(E251,$E$6:$E$1000,0),COUNTA(UNIQUE(E$6:E251))),"000"))</f>
        <v/>
      </c>
    </row>
    <row r="252" spans="4:4">
      <c r="D252" s="5" t="str">
        <f>IF(E252="","","EMP-" &amp; TEXT(IF(COUNTIF(E$6:E252,E252)&gt;=1,MATCH(E252,$E$6:$E$1000,0),COUNTA(UNIQUE(E$6:E252))),"000"))</f>
        <v/>
      </c>
    </row>
    <row r="253" spans="4:4">
      <c r="D253" s="5" t="str">
        <f>IF(E253="","","EMP-" &amp; TEXT(IF(COUNTIF(E$6:E253,E253)&gt;=1,MATCH(E253,$E$6:$E$1000,0),COUNTA(UNIQUE(E$6:E253))),"000"))</f>
        <v/>
      </c>
    </row>
    <row r="254" spans="4:4">
      <c r="D254" s="5" t="str">
        <f>IF(E254="","","EMP-" &amp; TEXT(IF(COUNTIF(E$6:E254,E254)&gt;=1,MATCH(E254,$E$6:$E$1000,0),COUNTA(UNIQUE(E$6:E254))),"000"))</f>
        <v/>
      </c>
    </row>
    <row r="255" spans="4:4">
      <c r="D255" s="5" t="str">
        <f>IF(E255="","","EMP-" &amp; TEXT(IF(COUNTIF(E$6:E255,E255)&gt;=1,MATCH(E255,$E$6:$E$1000,0),COUNTA(UNIQUE(E$6:E255))),"000"))</f>
        <v/>
      </c>
    </row>
    <row r="256" spans="4:4">
      <c r="D256" s="5" t="str">
        <f>IF(E256="","","EMP-" &amp; TEXT(IF(COUNTIF(E$6:E256,E256)&gt;=1,MATCH(E256,$E$6:$E$1000,0),COUNTA(UNIQUE(E$6:E256))),"000"))</f>
        <v/>
      </c>
    </row>
    <row r="257" spans="4:4">
      <c r="D257" s="5" t="str">
        <f>IF(E257="","","EMP-" &amp; TEXT(IF(COUNTIF(E$6:E257,E257)&gt;=1,MATCH(E257,$E$6:$E$1000,0),COUNTA(UNIQUE(E$6:E257))),"000"))</f>
        <v/>
      </c>
    </row>
    <row r="258" spans="4:4">
      <c r="D258" s="5" t="str">
        <f>IF(E258="","","EMP-" &amp; TEXT(IF(COUNTIF(E$6:E258,E258)&gt;=1,MATCH(E258,$E$6:$E$1000,0),COUNTA(UNIQUE(E$6:E258))),"000"))</f>
        <v/>
      </c>
    </row>
    <row r="259" spans="4:4">
      <c r="D259" s="5" t="str">
        <f>IF(E259="","","EMP-" &amp; TEXT(IF(COUNTIF(E$6:E259,E259)&gt;=1,MATCH(E259,$E$6:$E$1000,0),COUNTA(UNIQUE(E$6:E259))),"000"))</f>
        <v/>
      </c>
    </row>
    <row r="260" spans="4:4">
      <c r="D260" s="5" t="str">
        <f>IF(E260="","","EMP-" &amp; TEXT(IF(COUNTIF(E$6:E260,E260)&gt;=1,MATCH(E260,$E$6:$E$1000,0),COUNTA(UNIQUE(E$6:E260))),"000"))</f>
        <v/>
      </c>
    </row>
    <row r="261" spans="4:4">
      <c r="D261" s="5" t="str">
        <f>IF(E261="","","EMP-" &amp; TEXT(IF(COUNTIF(E$6:E261,E261)&gt;=1,MATCH(E261,$E$6:$E$1000,0),COUNTA(UNIQUE(E$6:E261))),"000"))</f>
        <v/>
      </c>
    </row>
    <row r="262" spans="4:4">
      <c r="D262" s="5" t="str">
        <f>IF(E262="","","EMP-" &amp; TEXT(IF(COUNTIF(E$6:E262,E262)&gt;=1,MATCH(E262,$E$6:$E$1000,0),COUNTA(UNIQUE(E$6:E262))),"000"))</f>
        <v/>
      </c>
    </row>
    <row r="263" spans="4:4">
      <c r="D263" s="5" t="str">
        <f>IF(E263="","","EMP-" &amp; TEXT(IF(COUNTIF(E$6:E263,E263)&gt;=1,MATCH(E263,$E$6:$E$1000,0),COUNTA(UNIQUE(E$6:E263))),"000"))</f>
        <v/>
      </c>
    </row>
    <row r="264" spans="4:4">
      <c r="D264" s="5" t="str">
        <f>IF(E264="","","EMP-" &amp; TEXT(IF(COUNTIF(E$6:E264,E264)&gt;=1,MATCH(E264,$E$6:$E$1000,0),COUNTA(UNIQUE(E$6:E264))),"000"))</f>
        <v/>
      </c>
    </row>
    <row r="265" spans="4:4">
      <c r="D265" s="5" t="str">
        <f>IF(E265="","","EMP-" &amp; TEXT(IF(COUNTIF(E$6:E265,E265)&gt;=1,MATCH(E265,$E$6:$E$1000,0),COUNTA(UNIQUE(E$6:E265))),"000"))</f>
        <v/>
      </c>
    </row>
    <row r="266" spans="4:4">
      <c r="D266" s="5" t="str">
        <f>IF(E266="","","EMP-" &amp; TEXT(IF(COUNTIF(E$6:E266,E266)&gt;=1,MATCH(E266,$E$6:$E$1000,0),COUNTA(UNIQUE(E$6:E266))),"000"))</f>
        <v/>
      </c>
    </row>
    <row r="267" spans="4:4">
      <c r="D267" s="5" t="str">
        <f>IF(E267="","","EMP-" &amp; TEXT(IF(COUNTIF(E$6:E267,E267)&gt;=1,MATCH(E267,$E$6:$E$1000,0),COUNTA(UNIQUE(E$6:E267))),"000"))</f>
        <v/>
      </c>
    </row>
    <row r="268" spans="4:4">
      <c r="D268" s="5" t="str">
        <f>IF(E268="","","EMP-" &amp; TEXT(IF(COUNTIF(E$6:E268,E268)&gt;=1,MATCH(E268,$E$6:$E$1000,0),COUNTA(UNIQUE(E$6:E268))),"000"))</f>
        <v/>
      </c>
    </row>
    <row r="269" spans="4:4">
      <c r="D269" s="5" t="str">
        <f>IF(E269="","","EMP-" &amp; TEXT(IF(COUNTIF(E$6:E269,E269)&gt;=1,MATCH(E269,$E$6:$E$1000,0),COUNTA(UNIQUE(E$6:E269))),"000"))</f>
        <v/>
      </c>
    </row>
    <row r="270" spans="4:4">
      <c r="D270" s="5" t="str">
        <f>IF(E270="","","EMP-" &amp; TEXT(IF(COUNTIF(E$6:E270,E270)&gt;=1,MATCH(E270,$E$6:$E$1000,0),COUNTA(UNIQUE(E$6:E270))),"000"))</f>
        <v/>
      </c>
    </row>
    <row r="271" spans="4:4">
      <c r="D271" s="5" t="str">
        <f>IF(E271="","","EMP-" &amp; TEXT(IF(COUNTIF(E$6:E271,E271)&gt;=1,MATCH(E271,$E$6:$E$1000,0),COUNTA(UNIQUE(E$6:E271))),"000"))</f>
        <v/>
      </c>
    </row>
    <row r="272" spans="4:4">
      <c r="D272" s="5" t="str">
        <f>IF(E272="","","EMP-" &amp; TEXT(IF(COUNTIF(E$6:E272,E272)&gt;=1,MATCH(E272,$E$6:$E$1000,0),COUNTA(UNIQUE(E$6:E272))),"000"))</f>
        <v/>
      </c>
    </row>
    <row r="273" spans="4:4">
      <c r="D273" s="5" t="str">
        <f>IF(E273="","","EMP-" &amp; TEXT(IF(COUNTIF(E$6:E273,E273)&gt;=1,MATCH(E273,$E$6:$E$1000,0),COUNTA(UNIQUE(E$6:E273))),"000"))</f>
        <v/>
      </c>
    </row>
    <row r="274" spans="4:4">
      <c r="D274" s="5" t="str">
        <f>IF(E274="","","EMP-" &amp; TEXT(IF(COUNTIF(E$6:E274,E274)&gt;=1,MATCH(E274,$E$6:$E$1000,0),COUNTA(UNIQUE(E$6:E274))),"000"))</f>
        <v/>
      </c>
    </row>
    <row r="275" spans="4:4">
      <c r="D275" s="5" t="str">
        <f>IF(E275="","","EMP-" &amp; TEXT(IF(COUNTIF(E$6:E275,E275)&gt;=1,MATCH(E275,$E$6:$E$1000,0),COUNTA(UNIQUE(E$6:E275))),"000"))</f>
        <v/>
      </c>
    </row>
    <row r="276" spans="4:4">
      <c r="D276" s="5" t="str">
        <f>IF(E276="","","EMP-" &amp; TEXT(IF(COUNTIF(E$6:E276,E276)&gt;=1,MATCH(E276,$E$6:$E$1000,0),COUNTA(UNIQUE(E$6:E276))),"000"))</f>
        <v/>
      </c>
    </row>
    <row r="277" spans="4:4">
      <c r="D277" s="5" t="str">
        <f>IF(E277="","","EMP-" &amp; TEXT(IF(COUNTIF(E$6:E277,E277)&gt;=1,MATCH(E277,$E$6:$E$1000,0),COUNTA(UNIQUE(E$6:E277))),"000"))</f>
        <v/>
      </c>
    </row>
    <row r="278" spans="4:4">
      <c r="D278" s="5" t="str">
        <f>IF(E278="","","EMP-" &amp; TEXT(IF(COUNTIF(E$6:E278,E278)&gt;=1,MATCH(E278,$E$6:$E$1000,0),COUNTA(UNIQUE(E$6:E278))),"000"))</f>
        <v/>
      </c>
    </row>
    <row r="279" spans="4:4">
      <c r="D279" s="5" t="str">
        <f>IF(E279="","","EMP-" &amp; TEXT(IF(COUNTIF(E$6:E279,E279)&gt;=1,MATCH(E279,$E$6:$E$1000,0),COUNTA(UNIQUE(E$6:E279))),"000"))</f>
        <v/>
      </c>
    </row>
    <row r="280" spans="4:4">
      <c r="D280" s="5" t="str">
        <f>IF(E280="","","EMP-" &amp; TEXT(IF(COUNTIF(E$6:E280,E280)&gt;=1,MATCH(E280,$E$6:$E$1000,0),COUNTA(UNIQUE(E$6:E280))),"000"))</f>
        <v/>
      </c>
    </row>
    <row r="281" spans="4:4">
      <c r="D281" s="5" t="str">
        <f>IF(E281="","","EMP-" &amp; TEXT(IF(COUNTIF(E$6:E281,E281)&gt;=1,MATCH(E281,$E$6:$E$1000,0),COUNTA(UNIQUE(E$6:E281))),"000"))</f>
        <v/>
      </c>
    </row>
    <row r="282" spans="4:4">
      <c r="D282" s="5" t="str">
        <f>IF(E282="","","EMP-" &amp; TEXT(IF(COUNTIF(E$6:E282,E282)&gt;=1,MATCH(E282,$E$6:$E$1000,0),COUNTA(UNIQUE(E$6:E282))),"000"))</f>
        <v/>
      </c>
    </row>
    <row r="283" spans="4:4">
      <c r="D283" s="5" t="str">
        <f>IF(E283="","","EMP-" &amp; TEXT(IF(COUNTIF(E$6:E283,E283)&gt;=1,MATCH(E283,$E$6:$E$1000,0),COUNTA(UNIQUE(E$6:E283))),"000"))</f>
        <v/>
      </c>
    </row>
    <row r="284" spans="4:4">
      <c r="D284" s="5" t="str">
        <f>IF(E284="","","EMP-" &amp; TEXT(IF(COUNTIF(E$6:E284,E284)&gt;=1,MATCH(E284,$E$6:$E$1000,0),COUNTA(UNIQUE(E$6:E284))),"000"))</f>
        <v/>
      </c>
    </row>
    <row r="285" spans="4:4">
      <c r="D285" s="5" t="str">
        <f>IF(E285="","","EMP-" &amp; TEXT(IF(COUNTIF(E$6:E285,E285)&gt;=1,MATCH(E285,$E$6:$E$1000,0),COUNTA(UNIQUE(E$6:E285))),"000"))</f>
        <v/>
      </c>
    </row>
    <row r="286" spans="4:4">
      <c r="D286" s="5" t="str">
        <f>IF(E286="","","EMP-" &amp; TEXT(IF(COUNTIF(E$6:E286,E286)&gt;=1,MATCH(E286,$E$6:$E$1000,0),COUNTA(UNIQUE(E$6:E286))),"000"))</f>
        <v/>
      </c>
    </row>
    <row r="287" spans="4:4">
      <c r="D287" s="5" t="str">
        <f>IF(E287="","","EMP-" &amp; TEXT(IF(COUNTIF(E$6:E287,E287)&gt;=1,MATCH(E287,$E$6:$E$1000,0),COUNTA(UNIQUE(E$6:E287))),"000"))</f>
        <v/>
      </c>
    </row>
    <row r="288" spans="4:4">
      <c r="D288" s="5" t="str">
        <f>IF(E288="","","EMP-" &amp; TEXT(IF(COUNTIF(E$6:E288,E288)&gt;=1,MATCH(E288,$E$6:$E$1000,0),COUNTA(UNIQUE(E$6:E288))),"000"))</f>
        <v/>
      </c>
    </row>
    <row r="289" spans="4:4">
      <c r="D289" s="5" t="str">
        <f>IF(E289="","","EMP-" &amp; TEXT(IF(COUNTIF(E$6:E289,E289)&gt;=1,MATCH(E289,$E$6:$E$1000,0),COUNTA(UNIQUE(E$6:E289))),"000"))</f>
        <v/>
      </c>
    </row>
    <row r="290" spans="4:4">
      <c r="D290" s="5" t="str">
        <f>IF(E290="","","EMP-" &amp; TEXT(IF(COUNTIF(E$6:E290,E290)&gt;=1,MATCH(E290,$E$6:$E$1000,0),COUNTA(UNIQUE(E$6:E290))),"000"))</f>
        <v/>
      </c>
    </row>
    <row r="291" spans="4:4">
      <c r="D291" s="5" t="str">
        <f>IF(E291="","","EMP-" &amp; TEXT(IF(COUNTIF(E$6:E291,E291)&gt;=1,MATCH(E291,$E$6:$E$1000,0),COUNTA(UNIQUE(E$6:E291))),"000"))</f>
        <v/>
      </c>
    </row>
    <row r="292" spans="4:4">
      <c r="D292" s="5" t="str">
        <f>IF(E292="","","EMP-" &amp; TEXT(IF(COUNTIF(E$6:E292,E292)&gt;=1,MATCH(E292,$E$6:$E$1000,0),COUNTA(UNIQUE(E$6:E292))),"000"))</f>
        <v/>
      </c>
    </row>
    <row r="293" spans="4:4">
      <c r="D293" s="5" t="str">
        <f>IF(E293="","","EMP-" &amp; TEXT(IF(COUNTIF(E$6:E293,E293)&gt;=1,MATCH(E293,$E$6:$E$1000,0),COUNTA(UNIQUE(E$6:E293))),"000"))</f>
        <v/>
      </c>
    </row>
    <row r="294" spans="4:4">
      <c r="D294" s="5" t="str">
        <f>IF(E294="","","EMP-" &amp; TEXT(IF(COUNTIF(E$6:E294,E294)&gt;=1,MATCH(E294,$E$6:$E$1000,0),COUNTA(UNIQUE(E$6:E294))),"000"))</f>
        <v/>
      </c>
    </row>
    <row r="295" spans="4:4">
      <c r="D295" s="5" t="str">
        <f>IF(E295="","","EMP-" &amp; TEXT(IF(COUNTIF(E$6:E295,E295)&gt;=1,MATCH(E295,$E$6:$E$1000,0),COUNTA(UNIQUE(E$6:E295))),"000"))</f>
        <v/>
      </c>
    </row>
    <row r="296" spans="4:4">
      <c r="D296" s="5" t="str">
        <f>IF(E296="","","EMP-" &amp; TEXT(IF(COUNTIF(E$6:E296,E296)&gt;=1,MATCH(E296,$E$6:$E$1000,0),COUNTA(UNIQUE(E$6:E296))),"000"))</f>
        <v/>
      </c>
    </row>
    <row r="297" spans="4:4">
      <c r="D297" s="5" t="str">
        <f>IF(E297="","","EMP-" &amp; TEXT(IF(COUNTIF(E$6:E297,E297)&gt;=1,MATCH(E297,$E$6:$E$1000,0),COUNTA(UNIQUE(E$6:E297))),"000"))</f>
        <v/>
      </c>
    </row>
    <row r="298" spans="4:4">
      <c r="D298" s="5" t="str">
        <f>IF(E298="","","EMP-" &amp; TEXT(IF(COUNTIF(E$6:E298,E298)&gt;=1,MATCH(E298,$E$6:$E$1000,0),COUNTA(UNIQUE(E$6:E298))),"000"))</f>
        <v/>
      </c>
    </row>
    <row r="299" spans="4:4">
      <c r="D299" s="5" t="str">
        <f>IF(E299="","","EMP-" &amp; TEXT(IF(COUNTIF(E$6:E299,E299)&gt;=1,MATCH(E299,$E$6:$E$1000,0),COUNTA(UNIQUE(E$6:E299))),"000"))</f>
        <v/>
      </c>
    </row>
    <row r="300" spans="4:4">
      <c r="D300" s="5" t="str">
        <f>IF(E300="","","EMP-" &amp; TEXT(IF(COUNTIF(E$6:E300,E300)&gt;=1,MATCH(E300,$E$6:$E$1000,0),COUNTA(UNIQUE(E$6:E300))),"000"))</f>
        <v/>
      </c>
    </row>
    <row r="301" spans="4:4">
      <c r="D301" s="5" t="str">
        <f>IF(E301="","","EMP-" &amp; TEXT(IF(COUNTIF(E$6:E301,E301)&gt;=1,MATCH(E301,$E$6:$E$1000,0),COUNTA(UNIQUE(E$6:E301))),"000"))</f>
        <v/>
      </c>
    </row>
    <row r="302" spans="4:4">
      <c r="D302" s="5" t="str">
        <f>IF(E302="","","EMP-" &amp; TEXT(IF(COUNTIF(E$6:E302,E302)&gt;=1,MATCH(E302,$E$6:$E$1000,0),COUNTA(UNIQUE(E$6:E302))),"000"))</f>
        <v/>
      </c>
    </row>
    <row r="303" spans="4:4">
      <c r="D303" s="5" t="str">
        <f>IF(E303="","","EMP-" &amp; TEXT(IF(COUNTIF(E$6:E303,E303)&gt;=1,MATCH(E303,$E$6:$E$1000,0),COUNTA(UNIQUE(E$6:E303))),"000"))</f>
        <v/>
      </c>
    </row>
    <row r="304" spans="4:4">
      <c r="D304" s="5" t="str">
        <f>IF(E304="","","EMP-" &amp; TEXT(IF(COUNTIF(E$6:E304,E304)&gt;=1,MATCH(E304,$E$6:$E$1000,0),COUNTA(UNIQUE(E$6:E304))),"000"))</f>
        <v/>
      </c>
    </row>
    <row r="305" spans="4:4">
      <c r="D305" s="5" t="str">
        <f>IF(E305="","","EMP-" &amp; TEXT(IF(COUNTIF(E$6:E305,E305)&gt;=1,MATCH(E305,$E$6:$E$1000,0),COUNTA(UNIQUE(E$6:E305))),"000"))</f>
        <v/>
      </c>
    </row>
    <row r="306" spans="4:4">
      <c r="D306" s="5" t="str">
        <f>IF(E306="","","EMP-" &amp; TEXT(IF(COUNTIF(E$6:E306,E306)&gt;=1,MATCH(E306,$E$6:$E$1000,0),COUNTA(UNIQUE(E$6:E306))),"000"))</f>
        <v/>
      </c>
    </row>
    <row r="307" spans="4:4">
      <c r="D307" s="5" t="str">
        <f>IF(E307="","","EMP-" &amp; TEXT(IF(COUNTIF(E$6:E307,E307)&gt;=1,MATCH(E307,$E$6:$E$1000,0),COUNTA(UNIQUE(E$6:E307))),"000"))</f>
        <v/>
      </c>
    </row>
    <row r="308" spans="4:4">
      <c r="D308" s="5" t="str">
        <f>IF(E308="","","EMP-" &amp; TEXT(IF(COUNTIF(E$6:E308,E308)&gt;=1,MATCH(E308,$E$6:$E$1000,0),COUNTA(UNIQUE(E$6:E308))),"000"))</f>
        <v/>
      </c>
    </row>
    <row r="309" spans="4:4">
      <c r="D309" s="5" t="str">
        <f>IF(E309="","","EMP-" &amp; TEXT(IF(COUNTIF(E$6:E309,E309)&gt;=1,MATCH(E309,$E$6:$E$1000,0),COUNTA(UNIQUE(E$6:E309))),"000"))</f>
        <v/>
      </c>
    </row>
    <row r="310" spans="4:4">
      <c r="D310" s="5" t="str">
        <f>IF(E310="","","EMP-" &amp; TEXT(IF(COUNTIF(E$6:E310,E310)&gt;=1,MATCH(E310,$E$6:$E$1000,0),COUNTA(UNIQUE(E$6:E310))),"000"))</f>
        <v/>
      </c>
    </row>
    <row r="311" spans="4:4">
      <c r="D311" s="5" t="str">
        <f>IF(E311="","","EMP-" &amp; TEXT(IF(COUNTIF(E$6:E311,E311)&gt;=1,MATCH(E311,$E$6:$E$1000,0),COUNTA(UNIQUE(E$6:E311))),"000"))</f>
        <v/>
      </c>
    </row>
    <row r="312" spans="4:4">
      <c r="D312" s="5" t="str">
        <f>IF(E312="","","EMP-" &amp; TEXT(IF(COUNTIF(E$6:E312,E312)&gt;=1,MATCH(E312,$E$6:$E$1000,0),COUNTA(UNIQUE(E$6:E312))),"000"))</f>
        <v/>
      </c>
    </row>
    <row r="313" spans="4:4">
      <c r="D313" s="5" t="str">
        <f>IF(E313="","","EMP-" &amp; TEXT(IF(COUNTIF(E$6:E313,E313)&gt;=1,MATCH(E313,$E$6:$E$1000,0),COUNTA(UNIQUE(E$6:E313))),"000"))</f>
        <v/>
      </c>
    </row>
    <row r="314" spans="4:4">
      <c r="D314" s="5" t="str">
        <f>IF(E314="","","EMP-" &amp; TEXT(IF(COUNTIF(E$6:E314,E314)&gt;=1,MATCH(E314,$E$6:$E$1000,0),COUNTA(UNIQUE(E$6:E314))),"000"))</f>
        <v/>
      </c>
    </row>
    <row r="315" spans="4:4">
      <c r="D315" s="5" t="str">
        <f>IF(E315="","","EMP-" &amp; TEXT(IF(COUNTIF(E$6:E315,E315)&gt;=1,MATCH(E315,$E$6:$E$1000,0),COUNTA(UNIQUE(E$6:E315))),"000"))</f>
        <v/>
      </c>
    </row>
    <row r="316" spans="4:4">
      <c r="D316" s="5" t="str">
        <f>IF(E316="","","EMP-" &amp; TEXT(IF(COUNTIF(E$6:E316,E316)&gt;=1,MATCH(E316,$E$6:$E$1000,0),COUNTA(UNIQUE(E$6:E316))),"000"))</f>
        <v/>
      </c>
    </row>
    <row r="317" spans="4:4">
      <c r="D317" s="5" t="str">
        <f>IF(E317="","","EMP-" &amp; TEXT(IF(COUNTIF(E$6:E317,E317)&gt;=1,MATCH(E317,$E$6:$E$1000,0),COUNTA(UNIQUE(E$6:E317))),"000"))</f>
        <v/>
      </c>
    </row>
    <row r="318" spans="4:4">
      <c r="D318" s="5" t="str">
        <f>IF(E318="","","EMP-" &amp; TEXT(IF(COUNTIF(E$6:E318,E318)&gt;=1,MATCH(E318,$E$6:$E$1000,0),COUNTA(UNIQUE(E$6:E318))),"000"))</f>
        <v/>
      </c>
    </row>
    <row r="319" spans="4:4">
      <c r="D319" s="5" t="str">
        <f>IF(E319="","","EMP-" &amp; TEXT(IF(COUNTIF(E$6:E319,E319)&gt;=1,MATCH(E319,$E$6:$E$1000,0),COUNTA(UNIQUE(E$6:E319))),"000"))</f>
        <v/>
      </c>
    </row>
    <row r="320" spans="4:4">
      <c r="D320" s="5" t="str">
        <f>IF(E320="","","EMP-" &amp; TEXT(IF(COUNTIF(E$6:E320,E320)&gt;=1,MATCH(E320,$E$6:$E$1000,0),COUNTA(UNIQUE(E$6:E320))),"000"))</f>
        <v/>
      </c>
    </row>
    <row r="321" spans="4:4">
      <c r="D321" s="5" t="str">
        <f>IF(E321="","","EMP-" &amp; TEXT(IF(COUNTIF(E$6:E321,E321)&gt;=1,MATCH(E321,$E$6:$E$1000,0),COUNTA(UNIQUE(E$6:E321))),"000"))</f>
        <v/>
      </c>
    </row>
    <row r="322" spans="4:4">
      <c r="D322" s="5" t="str">
        <f>IF(E322="","","EMP-" &amp; TEXT(IF(COUNTIF(E$6:E322,E322)&gt;=1,MATCH(E322,$E$6:$E$1000,0),COUNTA(UNIQUE(E$6:E322))),"000"))</f>
        <v/>
      </c>
    </row>
    <row r="323" spans="4:4">
      <c r="D323" s="5" t="str">
        <f>IF(E323="","","EMP-" &amp; TEXT(IF(COUNTIF(E$6:E323,E323)&gt;=1,MATCH(E323,$E$6:$E$1000,0),COUNTA(UNIQUE(E$6:E323))),"000"))</f>
        <v/>
      </c>
    </row>
    <row r="324" spans="4:4">
      <c r="D324" s="5" t="str">
        <f>IF(E324="","","EMP-" &amp; TEXT(IF(COUNTIF(E$6:E324,E324)&gt;=1,MATCH(E324,$E$6:$E$1000,0),COUNTA(UNIQUE(E$6:E324))),"000"))</f>
        <v/>
      </c>
    </row>
    <row r="325" spans="4:4">
      <c r="D325" s="5" t="str">
        <f>IF(E325="","","EMP-" &amp; TEXT(IF(COUNTIF(E$6:E325,E325)&gt;=1,MATCH(E325,$E$6:$E$1000,0),COUNTA(UNIQUE(E$6:E325))),"000"))</f>
        <v/>
      </c>
    </row>
    <row r="326" spans="4:4">
      <c r="D326" s="5" t="str">
        <f>IF(E326="","","EMP-" &amp; TEXT(IF(COUNTIF(E$6:E326,E326)&gt;=1,MATCH(E326,$E$6:$E$1000,0),COUNTA(UNIQUE(E$6:E326))),"000"))</f>
        <v/>
      </c>
    </row>
    <row r="327" spans="4:4">
      <c r="D327" s="5" t="str">
        <f>IF(E327="","","EMP-" &amp; TEXT(IF(COUNTIF(E$6:E327,E327)&gt;=1,MATCH(E327,$E$6:$E$1000,0),COUNTA(UNIQUE(E$6:E327))),"000"))</f>
        <v/>
      </c>
    </row>
    <row r="328" spans="4:4">
      <c r="D328" s="5" t="str">
        <f>IF(E328="","","EMP-" &amp; TEXT(IF(COUNTIF(E$6:E328,E328)&gt;=1,MATCH(E328,$E$6:$E$1000,0),COUNTA(UNIQUE(E$6:E328))),"000"))</f>
        <v/>
      </c>
    </row>
    <row r="329" spans="4:4">
      <c r="D329" s="5" t="str">
        <f>IF(E329="","","EMP-" &amp; TEXT(IF(COUNTIF(E$6:E329,E329)&gt;=1,MATCH(E329,$E$6:$E$1000,0),COUNTA(UNIQUE(E$6:E329))),"000"))</f>
        <v/>
      </c>
    </row>
    <row r="330" spans="4:4">
      <c r="D330" s="5" t="str">
        <f>IF(E330="","","EMP-" &amp; TEXT(IF(COUNTIF(E$6:E330,E330)&gt;=1,MATCH(E330,$E$6:$E$1000,0),COUNTA(UNIQUE(E$6:E330))),"000"))</f>
        <v/>
      </c>
    </row>
    <row r="331" spans="4:4">
      <c r="D331" s="5" t="str">
        <f>IF(E331="","","EMP-" &amp; TEXT(IF(COUNTIF(E$6:E331,E331)&gt;=1,MATCH(E331,$E$6:$E$1000,0),COUNTA(UNIQUE(E$6:E331))),"000"))</f>
        <v/>
      </c>
    </row>
    <row r="332" spans="4:4">
      <c r="D332" s="5" t="str">
        <f>IF(E332="","","EMP-" &amp; TEXT(IF(COUNTIF(E$6:E332,E332)&gt;=1,MATCH(E332,$E$6:$E$1000,0),COUNTA(UNIQUE(E$6:E332))),"000"))</f>
        <v/>
      </c>
    </row>
    <row r="333" spans="4:4">
      <c r="D333" s="5" t="str">
        <f>IF(E333="","","EMP-" &amp; TEXT(IF(COUNTIF(E$6:E333,E333)&gt;=1,MATCH(E333,$E$6:$E$1000,0),COUNTA(UNIQUE(E$6:E333))),"000"))</f>
        <v/>
      </c>
    </row>
    <row r="334" spans="4:4">
      <c r="D334" s="5" t="str">
        <f>IF(E334="","","EMP-" &amp; TEXT(IF(COUNTIF(E$6:E334,E334)&gt;=1,MATCH(E334,$E$6:$E$1000,0),COUNTA(UNIQUE(E$6:E334))),"000"))</f>
        <v/>
      </c>
    </row>
    <row r="335" spans="4:4">
      <c r="D335" s="5" t="str">
        <f>IF(E335="","","EMP-" &amp; TEXT(IF(COUNTIF(E$6:E335,E335)&gt;=1,MATCH(E335,$E$6:$E$1000,0),COUNTA(UNIQUE(E$6:E335))),"000"))</f>
        <v/>
      </c>
    </row>
    <row r="336" spans="4:4">
      <c r="D336" s="5" t="str">
        <f>IF(E336="","","EMP-" &amp; TEXT(IF(COUNTIF(E$6:E336,E336)&gt;=1,MATCH(E336,$E$6:$E$1000,0),COUNTA(UNIQUE(E$6:E336))),"000"))</f>
        <v/>
      </c>
    </row>
    <row r="337" spans="4:4">
      <c r="D337" s="5" t="str">
        <f>IF(E337="","","EMP-" &amp; TEXT(IF(COUNTIF(E$6:E337,E337)&gt;=1,MATCH(E337,$E$6:$E$1000,0),COUNTA(UNIQUE(E$6:E337))),"000"))</f>
        <v/>
      </c>
    </row>
    <row r="338" spans="4:4">
      <c r="D338" s="5" t="str">
        <f>IF(E338="","","EMP-" &amp; TEXT(IF(COUNTIF(E$6:E338,E338)&gt;=1,MATCH(E338,$E$6:$E$1000,0),COUNTA(UNIQUE(E$6:E338))),"000"))</f>
        <v/>
      </c>
    </row>
    <row r="339" spans="4:4">
      <c r="D339" s="5" t="str">
        <f>IF(E339="","","EMP-" &amp; TEXT(IF(COUNTIF(E$6:E339,E339)&gt;=1,MATCH(E339,$E$6:$E$1000,0),COUNTA(UNIQUE(E$6:E339))),"000"))</f>
        <v/>
      </c>
    </row>
    <row r="340" spans="4:4">
      <c r="D340" s="5" t="str">
        <f>IF(E340="","","EMP-" &amp; TEXT(IF(COUNTIF(E$6:E340,E340)&gt;=1,MATCH(E340,$E$6:$E$1000,0),COUNTA(UNIQUE(E$6:E340))),"000"))</f>
        <v/>
      </c>
    </row>
    <row r="341" spans="4:4">
      <c r="D341" s="5" t="str">
        <f>IF(E341="","","EMP-" &amp; TEXT(IF(COUNTIF(E$6:E341,E341)&gt;=1,MATCH(E341,$E$6:$E$1000,0),COUNTA(UNIQUE(E$6:E341))),"000"))</f>
        <v/>
      </c>
    </row>
    <row r="342" spans="4:4">
      <c r="D342" s="5" t="str">
        <f>IF(E342="","","EMP-" &amp; TEXT(IF(COUNTIF(E$6:E342,E342)&gt;=1,MATCH(E342,$E$6:$E$1000,0),COUNTA(UNIQUE(E$6:E342))),"000"))</f>
        <v/>
      </c>
    </row>
    <row r="343" spans="4:4">
      <c r="D343" s="5" t="str">
        <f>IF(E343="","","EMP-" &amp; TEXT(IF(COUNTIF(E$6:E343,E343)&gt;=1,MATCH(E343,$E$6:$E$1000,0),COUNTA(UNIQUE(E$6:E343))),"000"))</f>
        <v/>
      </c>
    </row>
    <row r="344" spans="4:4">
      <c r="D344" s="5" t="str">
        <f>IF(E344="","","EMP-" &amp; TEXT(IF(COUNTIF(E$6:E344,E344)&gt;=1,MATCH(E344,$E$6:$E$1000,0),COUNTA(UNIQUE(E$6:E344))),"000"))</f>
        <v/>
      </c>
    </row>
    <row r="345" spans="4:4">
      <c r="D345" s="5" t="str">
        <f>IF(E345="","","EMP-" &amp; TEXT(IF(COUNTIF(E$6:E345,E345)&gt;=1,MATCH(E345,$E$6:$E$1000,0),COUNTA(UNIQUE(E$6:E345))),"000"))</f>
        <v/>
      </c>
    </row>
    <row r="346" spans="4:4">
      <c r="D346" s="5" t="str">
        <f>IF(E346="","","EMP-" &amp; TEXT(IF(COUNTIF(E$6:E346,E346)&gt;=1,MATCH(E346,$E$6:$E$1000,0),COUNTA(UNIQUE(E$6:E346))),"000"))</f>
        <v/>
      </c>
    </row>
    <row r="347" spans="4:4">
      <c r="D347" s="5" t="str">
        <f>IF(E347="","","EMP-" &amp; TEXT(IF(COUNTIF(E$6:E347,E347)&gt;=1,MATCH(E347,$E$6:$E$1000,0),COUNTA(UNIQUE(E$6:E347))),"000"))</f>
        <v/>
      </c>
    </row>
    <row r="348" spans="4:4">
      <c r="D348" s="5" t="str">
        <f>IF(E348="","","EMP-" &amp; TEXT(IF(COUNTIF(E$6:E348,E348)&gt;=1,MATCH(E348,$E$6:$E$1000,0),COUNTA(UNIQUE(E$6:E348))),"000"))</f>
        <v/>
      </c>
    </row>
    <row r="349" spans="4:4">
      <c r="D349" s="5" t="str">
        <f>IF(E349="","","EMP-" &amp; TEXT(IF(COUNTIF(E$6:E349,E349)&gt;=1,MATCH(E349,$E$6:$E$1000,0),COUNTA(UNIQUE(E$6:E349))),"000"))</f>
        <v/>
      </c>
    </row>
    <row r="350" spans="4:4">
      <c r="D350" s="5" t="str">
        <f>IF(E350="","","EMP-" &amp; TEXT(IF(COUNTIF(E$6:E350,E350)&gt;=1,MATCH(E350,$E$6:$E$1000,0),COUNTA(UNIQUE(E$6:E350))),"000"))</f>
        <v/>
      </c>
    </row>
    <row r="351" spans="4:4">
      <c r="D351" s="5" t="str">
        <f>IF(E351="","","EMP-" &amp; TEXT(IF(COUNTIF(E$6:E351,E351)&gt;=1,MATCH(E351,$E$6:$E$1000,0),COUNTA(UNIQUE(E$6:E351))),"000"))</f>
        <v/>
      </c>
    </row>
    <row r="352" spans="4:4">
      <c r="D352" s="5" t="str">
        <f>IF(E352="","","EMP-" &amp; TEXT(IF(COUNTIF(E$6:E352,E352)&gt;=1,MATCH(E352,$E$6:$E$1000,0),COUNTA(UNIQUE(E$6:E352))),"000"))</f>
        <v/>
      </c>
    </row>
    <row r="353" spans="4:4">
      <c r="D353" s="5" t="str">
        <f>IF(E353="","","EMP-" &amp; TEXT(IF(COUNTIF(E$6:E353,E353)&gt;=1,MATCH(E353,$E$6:$E$1000,0),COUNTA(UNIQUE(E$6:E353))),"000"))</f>
        <v/>
      </c>
    </row>
    <row r="354" spans="4:4">
      <c r="D354" s="5" t="str">
        <f>IF(E354="","","EMP-" &amp; TEXT(IF(COUNTIF(E$6:E354,E354)&gt;=1,MATCH(E354,$E$6:$E$1000,0),COUNTA(UNIQUE(E$6:E354))),"000"))</f>
        <v/>
      </c>
    </row>
    <row r="355" spans="4:4">
      <c r="D355" s="5" t="str">
        <f>IF(E355="","","EMP-" &amp; TEXT(IF(COUNTIF(E$6:E355,E355)&gt;=1,MATCH(E355,$E$6:$E$1000,0),COUNTA(UNIQUE(E$6:E355))),"000"))</f>
        <v/>
      </c>
    </row>
    <row r="356" spans="4:4">
      <c r="D356" s="5" t="str">
        <f>IF(E356="","","EMP-" &amp; TEXT(IF(COUNTIF(E$6:E356,E356)&gt;=1,MATCH(E356,$E$6:$E$1000,0),COUNTA(UNIQUE(E$6:E356))),"000"))</f>
        <v/>
      </c>
    </row>
    <row r="357" spans="4:4">
      <c r="D357" s="5" t="str">
        <f>IF(E357="","","EMP-" &amp; TEXT(IF(COUNTIF(E$6:E357,E357)&gt;=1,MATCH(E357,$E$6:$E$1000,0),COUNTA(UNIQUE(E$6:E357))),"000"))</f>
        <v/>
      </c>
    </row>
    <row r="358" spans="4:4">
      <c r="D358" s="5" t="str">
        <f>IF(E358="","","EMP-" &amp; TEXT(IF(COUNTIF(E$6:E358,E358)&gt;=1,MATCH(E358,$E$6:$E$1000,0),COUNTA(UNIQUE(E$6:E358))),"000"))</f>
        <v/>
      </c>
    </row>
    <row r="359" spans="4:4">
      <c r="D359" s="5" t="str">
        <f>IF(E359="","","EMP-" &amp; TEXT(IF(COUNTIF(E$6:E359,E359)&gt;=1,MATCH(E359,$E$6:$E$1000,0),COUNTA(UNIQUE(E$6:E359))),"000"))</f>
        <v/>
      </c>
    </row>
    <row r="360" spans="4:4">
      <c r="D360" s="5" t="str">
        <f>IF(E360="","","EMP-" &amp; TEXT(IF(COUNTIF(E$6:E360,E360)&gt;=1,MATCH(E360,$E$6:$E$1000,0),COUNTA(UNIQUE(E$6:E360))),"000"))</f>
        <v/>
      </c>
    </row>
    <row r="361" spans="4:4">
      <c r="D361" s="5" t="str">
        <f>IF(E361="","","EMP-" &amp; TEXT(IF(COUNTIF(E$6:E361,E361)&gt;=1,MATCH(E361,$E$6:$E$1000,0),COUNTA(UNIQUE(E$6:E361))),"000"))</f>
        <v/>
      </c>
    </row>
    <row r="362" spans="4:4">
      <c r="D362" s="5" t="str">
        <f>IF(E362="","","EMP-" &amp; TEXT(IF(COUNTIF(E$6:E362,E362)&gt;=1,MATCH(E362,$E$6:$E$1000,0),COUNTA(UNIQUE(E$6:E362))),"000"))</f>
        <v/>
      </c>
    </row>
    <row r="363" spans="4:4">
      <c r="D363" s="5" t="str">
        <f>IF(E363="","","EMP-" &amp; TEXT(IF(COUNTIF(E$6:E363,E363)&gt;=1,MATCH(E363,$E$6:$E$1000,0),COUNTA(UNIQUE(E$6:E363))),"000"))</f>
        <v/>
      </c>
    </row>
    <row r="364" spans="4:4">
      <c r="D364" s="5" t="str">
        <f>IF(E364="","","EMP-" &amp; TEXT(IF(COUNTIF(E$6:E364,E364)&gt;=1,MATCH(E364,$E$6:$E$1000,0),COUNTA(UNIQUE(E$6:E364))),"000"))</f>
        <v/>
      </c>
    </row>
    <row r="365" spans="4:4">
      <c r="D365" s="5" t="str">
        <f>IF(E365="","","EMP-" &amp; TEXT(IF(COUNTIF(E$6:E365,E365)&gt;=1,MATCH(E365,$E$6:$E$1000,0),COUNTA(UNIQUE(E$6:E365))),"000"))</f>
        <v/>
      </c>
    </row>
    <row r="366" spans="4:4">
      <c r="D366" s="5" t="str">
        <f>IF(E366="","","EMP-" &amp; TEXT(IF(COUNTIF(E$6:E366,E366)&gt;=1,MATCH(E366,$E$6:$E$1000,0),COUNTA(UNIQUE(E$6:E366))),"000"))</f>
        <v/>
      </c>
    </row>
    <row r="367" spans="4:4">
      <c r="D367" s="5" t="str">
        <f>IF(E367="","","EMP-" &amp; TEXT(IF(COUNTIF(E$6:E367,E367)&gt;=1,MATCH(E367,$E$6:$E$1000,0),COUNTA(UNIQUE(E$6:E367))),"000"))</f>
        <v/>
      </c>
    </row>
    <row r="368" spans="4:4">
      <c r="D368" s="5" t="str">
        <f>IF(E368="","","EMP-" &amp; TEXT(IF(COUNTIF(E$6:E368,E368)&gt;=1,MATCH(E368,$E$6:$E$1000,0),COUNTA(UNIQUE(E$6:E368))),"000"))</f>
        <v/>
      </c>
    </row>
    <row r="369" spans="4:4">
      <c r="D369" s="5" t="str">
        <f>IF(E369="","","EMP-" &amp; TEXT(IF(COUNTIF(E$6:E369,E369)&gt;=1,MATCH(E369,$E$6:$E$1000,0),COUNTA(UNIQUE(E$6:E369))),"000"))</f>
        <v/>
      </c>
    </row>
    <row r="370" spans="4:4">
      <c r="D370" s="5" t="str">
        <f>IF(E370="","","EMP-" &amp; TEXT(IF(COUNTIF(E$6:E370,E370)&gt;=1,MATCH(E370,$E$6:$E$1000,0),COUNTA(UNIQUE(E$6:E370))),"000"))</f>
        <v/>
      </c>
    </row>
    <row r="371" spans="4:4">
      <c r="D371" s="5" t="str">
        <f>IF(E371="","","EMP-" &amp; TEXT(IF(COUNTIF(E$6:E371,E371)&gt;=1,MATCH(E371,$E$6:$E$1000,0),COUNTA(UNIQUE(E$6:E371))),"000"))</f>
        <v/>
      </c>
    </row>
    <row r="372" spans="4:4">
      <c r="D372" s="5" t="str">
        <f>IF(E372="","","EMP-" &amp; TEXT(IF(COUNTIF(E$6:E372,E372)&gt;=1,MATCH(E372,$E$6:$E$1000,0),COUNTA(UNIQUE(E$6:E372))),"000"))</f>
        <v/>
      </c>
    </row>
    <row r="373" spans="4:4">
      <c r="D373" s="5" t="str">
        <f>IF(E373="","","EMP-" &amp; TEXT(IF(COUNTIF(E$6:E373,E373)&gt;=1,MATCH(E373,$E$6:$E$1000,0),COUNTA(UNIQUE(E$6:E373))),"000"))</f>
        <v/>
      </c>
    </row>
    <row r="374" spans="4:4">
      <c r="D374" s="5" t="str">
        <f>IF(E374="","","EMP-" &amp; TEXT(IF(COUNTIF(E$6:E374,E374)&gt;=1,MATCH(E374,$E$6:$E$1000,0),COUNTA(UNIQUE(E$6:E374))),"000"))</f>
        <v/>
      </c>
    </row>
    <row r="375" spans="4:4">
      <c r="D375" s="5" t="str">
        <f>IF(E375="","","EMP-" &amp; TEXT(IF(COUNTIF(E$6:E375,E375)&gt;=1,MATCH(E375,$E$6:$E$1000,0),COUNTA(UNIQUE(E$6:E375))),"000"))</f>
        <v/>
      </c>
    </row>
    <row r="376" spans="4:4">
      <c r="D376" s="5" t="str">
        <f>IF(E376="","","EMP-" &amp; TEXT(IF(COUNTIF(E$6:E376,E376)&gt;=1,MATCH(E376,$E$6:$E$1000,0),COUNTA(UNIQUE(E$6:E376))),"000"))</f>
        <v/>
      </c>
    </row>
    <row r="377" spans="4:4">
      <c r="D377" s="5" t="str">
        <f>IF(E377="","","EMP-" &amp; TEXT(IF(COUNTIF(E$6:E377,E377)&gt;=1,MATCH(E377,$E$6:$E$1000,0),COUNTA(UNIQUE(E$6:E377))),"000"))</f>
        <v/>
      </c>
    </row>
    <row r="378" spans="4:4">
      <c r="D378" s="5" t="str">
        <f>IF(E378="","","EMP-" &amp; TEXT(IF(COUNTIF(E$6:E378,E378)&gt;=1,MATCH(E378,$E$6:$E$1000,0),COUNTA(UNIQUE(E$6:E378))),"000"))</f>
        <v/>
      </c>
    </row>
    <row r="379" spans="4:4">
      <c r="D379" s="5" t="str">
        <f>IF(E379="","","EMP-" &amp; TEXT(IF(COUNTIF(E$6:E379,E379)&gt;=1,MATCH(E379,$E$6:$E$1000,0),COUNTA(UNIQUE(E$6:E379))),"000"))</f>
        <v/>
      </c>
    </row>
    <row r="380" spans="4:4">
      <c r="D380" s="5" t="str">
        <f>IF(E380="","","EMP-" &amp; TEXT(IF(COUNTIF(E$6:E380,E380)&gt;=1,MATCH(E380,$E$6:$E$1000,0),COUNTA(UNIQUE(E$6:E380))),"000"))</f>
        <v/>
      </c>
    </row>
    <row r="381" spans="4:4">
      <c r="D381" s="5" t="str">
        <f>IF(E381="","","EMP-" &amp; TEXT(IF(COUNTIF(E$6:E381,E381)&gt;=1,MATCH(E381,$E$6:$E$1000,0),COUNTA(UNIQUE(E$6:E381))),"000"))</f>
        <v/>
      </c>
    </row>
    <row r="382" spans="4:4">
      <c r="D382" s="5" t="str">
        <f>IF(E382="","","EMP-" &amp; TEXT(IF(COUNTIF(E$6:E382,E382)&gt;=1,MATCH(E382,$E$6:$E$1000,0),COUNTA(UNIQUE(E$6:E382))),"000"))</f>
        <v/>
      </c>
    </row>
    <row r="383" spans="4:4">
      <c r="D383" s="5" t="str">
        <f>IF(E383="","","EMP-" &amp; TEXT(IF(COUNTIF(E$6:E383,E383)&gt;=1,MATCH(E383,$E$6:$E$1000,0),COUNTA(UNIQUE(E$6:E383))),"000"))</f>
        <v/>
      </c>
    </row>
    <row r="384" spans="4:4">
      <c r="D384" s="5" t="str">
        <f>IF(E384="","","EMP-" &amp; TEXT(IF(COUNTIF(E$6:E384,E384)&gt;=1,MATCH(E384,$E$6:$E$1000,0),COUNTA(UNIQUE(E$6:E384))),"000"))</f>
        <v/>
      </c>
    </row>
    <row r="385" spans="4:4">
      <c r="D385" s="5" t="str">
        <f>IF(E385="","","EMP-" &amp; TEXT(IF(COUNTIF(E$6:E385,E385)&gt;=1,MATCH(E385,$E$6:$E$1000,0),COUNTA(UNIQUE(E$6:E385))),"000"))</f>
        <v/>
      </c>
    </row>
    <row r="386" spans="4:4">
      <c r="D386" s="5" t="str">
        <f>IF(E386="","","EMP-" &amp; TEXT(IF(COUNTIF(E$6:E386,E386)&gt;=1,MATCH(E386,$E$6:$E$1000,0),COUNTA(UNIQUE(E$6:E386))),"000"))</f>
        <v/>
      </c>
    </row>
    <row r="387" spans="4:4">
      <c r="D387" s="5" t="str">
        <f>IF(E387="","","EMP-" &amp; TEXT(IF(COUNTIF(E$6:E387,E387)&gt;=1,MATCH(E387,$E$6:$E$1000,0),COUNTA(UNIQUE(E$6:E387))),"000"))</f>
        <v/>
      </c>
    </row>
    <row r="388" spans="4:4">
      <c r="D388" s="5" t="str">
        <f>IF(E388="","","EMP-" &amp; TEXT(IF(COUNTIF(E$6:E388,E388)&gt;=1,MATCH(E388,$E$6:$E$1000,0),COUNTA(UNIQUE(E$6:E388))),"000"))</f>
        <v/>
      </c>
    </row>
    <row r="389" spans="4:4">
      <c r="D389" s="5" t="str">
        <f>IF(E389="","","EMP-" &amp; TEXT(IF(COUNTIF(E$6:E389,E389)&gt;=1,MATCH(E389,$E$6:$E$1000,0),COUNTA(UNIQUE(E$6:E389))),"000"))</f>
        <v/>
      </c>
    </row>
    <row r="390" spans="4:4">
      <c r="D390" s="5" t="str">
        <f>IF(E390="","","EMP-" &amp; TEXT(IF(COUNTIF(E$6:E390,E390)&gt;=1,MATCH(E390,$E$6:$E$1000,0),COUNTA(UNIQUE(E$6:E390))),"000"))</f>
        <v/>
      </c>
    </row>
    <row r="391" spans="4:4">
      <c r="D391" s="5" t="str">
        <f>IF(E391="","","EMP-" &amp; TEXT(IF(COUNTIF(E$6:E391,E391)&gt;=1,MATCH(E391,$E$6:$E$1000,0),COUNTA(UNIQUE(E$6:E391))),"000"))</f>
        <v/>
      </c>
    </row>
    <row r="392" spans="4:4">
      <c r="D392" s="5" t="str">
        <f>IF(E392="","","EMP-" &amp; TEXT(IF(COUNTIF(E$6:E392,E392)&gt;=1,MATCH(E392,$E$6:$E$1000,0),COUNTA(UNIQUE(E$6:E392))),"000"))</f>
        <v/>
      </c>
    </row>
    <row r="393" spans="4:4">
      <c r="D393" s="5" t="str">
        <f>IF(E393="","","EMP-" &amp; TEXT(IF(COUNTIF(E$6:E393,E393)&gt;=1,MATCH(E393,$E$6:$E$1000,0),COUNTA(UNIQUE(E$6:E393))),"000"))</f>
        <v/>
      </c>
    </row>
    <row r="394" spans="4:4">
      <c r="D394" s="5" t="str">
        <f>IF(E394="","","EMP-" &amp; TEXT(IF(COUNTIF(E$6:E394,E394)&gt;=1,MATCH(E394,$E$6:$E$1000,0),COUNTA(UNIQUE(E$6:E394))),"000"))</f>
        <v/>
      </c>
    </row>
    <row r="395" spans="4:4">
      <c r="D395" s="5" t="str">
        <f>IF(E395="","","EMP-" &amp; TEXT(IF(COUNTIF(E$6:E395,E395)&gt;=1,MATCH(E395,$E$6:$E$1000,0),COUNTA(UNIQUE(E$6:E395))),"000"))</f>
        <v/>
      </c>
    </row>
    <row r="396" spans="4:4">
      <c r="D396" s="5" t="str">
        <f>IF(E396="","","EMP-" &amp; TEXT(IF(COUNTIF(E$6:E396,E396)&gt;=1,MATCH(E396,$E$6:$E$1000,0),COUNTA(UNIQUE(E$6:E396))),"000"))</f>
        <v/>
      </c>
    </row>
    <row r="397" spans="4:4">
      <c r="D397" s="5" t="str">
        <f>IF(E397="","","EMP-" &amp; TEXT(IF(COUNTIF(E$6:E397,E397)&gt;=1,MATCH(E397,$E$6:$E$1000,0),COUNTA(UNIQUE(E$6:E397))),"000"))</f>
        <v/>
      </c>
    </row>
    <row r="398" spans="4:4">
      <c r="D398" s="5" t="str">
        <f>IF(E398="","","EMP-" &amp; TEXT(IF(COUNTIF(E$6:E398,E398)&gt;=1,MATCH(E398,$E$6:$E$1000,0),COUNTA(UNIQUE(E$6:E398))),"000"))</f>
        <v/>
      </c>
    </row>
    <row r="399" spans="4:4">
      <c r="D399" s="5" t="str">
        <f>IF(E399="","","EMP-" &amp; TEXT(IF(COUNTIF(E$6:E399,E399)&gt;=1,MATCH(E399,$E$6:$E$1000,0),COUNTA(UNIQUE(E$6:E399))),"000"))</f>
        <v/>
      </c>
    </row>
    <row r="400" spans="4:4">
      <c r="D400" s="5" t="str">
        <f>IF(E400="","","EMP-" &amp; TEXT(IF(COUNTIF(E$6:E400,E400)&gt;=1,MATCH(E400,$E$6:$E$1000,0),COUNTA(UNIQUE(E$6:E400))),"000"))</f>
        <v/>
      </c>
    </row>
    <row r="401" spans="4:4">
      <c r="D401" s="5" t="str">
        <f>IF(E401="","","EMP-" &amp; TEXT(IF(COUNTIF(E$6:E401,E401)&gt;=1,MATCH(E401,$E$6:$E$1000,0),COUNTA(UNIQUE(E$6:E401))),"000"))</f>
        <v/>
      </c>
    </row>
    <row r="402" spans="4:4">
      <c r="D402" s="5" t="str">
        <f>IF(E402="","","EMP-" &amp; TEXT(IF(COUNTIF(E$6:E402,E402)&gt;=1,MATCH(E402,$E$6:$E$1000,0),COUNTA(UNIQUE(E$6:E402))),"000"))</f>
        <v/>
      </c>
    </row>
    <row r="403" spans="4:4">
      <c r="D403" s="5" t="str">
        <f>IF(E403="","","EMP-" &amp; TEXT(IF(COUNTIF(E$6:E403,E403)&gt;=1,MATCH(E403,$E$6:$E$1000,0),COUNTA(UNIQUE(E$6:E403))),"000"))</f>
        <v/>
      </c>
    </row>
    <row r="404" spans="4:4">
      <c r="D404" s="5" t="str">
        <f>IF(E404="","","EMP-" &amp; TEXT(IF(COUNTIF(E$6:E404,E404)&gt;=1,MATCH(E404,$E$6:$E$1000,0),COUNTA(UNIQUE(E$6:E404))),"000"))</f>
        <v/>
      </c>
    </row>
    <row r="405" spans="4:4">
      <c r="D405" s="5" t="str">
        <f>IF(E405="","","EMP-" &amp; TEXT(IF(COUNTIF(E$6:E405,E405)&gt;=1,MATCH(E405,$E$6:$E$1000,0),COUNTA(UNIQUE(E$6:E405))),"000"))</f>
        <v/>
      </c>
    </row>
    <row r="406" spans="4:4">
      <c r="D406" s="5" t="str">
        <f>IF(E406="","","EMP-" &amp; TEXT(IF(COUNTIF(E$6:E406,E406)&gt;=1,MATCH(E406,$E$6:$E$1000,0),COUNTA(UNIQUE(E$6:E406))),"000"))</f>
        <v/>
      </c>
    </row>
    <row r="407" spans="4:4">
      <c r="D407" s="5" t="str">
        <f>IF(E407="","","EMP-" &amp; TEXT(IF(COUNTIF(E$6:E407,E407)&gt;=1,MATCH(E407,$E$6:$E$1000,0),COUNTA(UNIQUE(E$6:E407))),"000"))</f>
        <v/>
      </c>
    </row>
    <row r="408" spans="4:4">
      <c r="D408" s="5" t="str">
        <f>IF(E408="","","EMP-" &amp; TEXT(IF(COUNTIF(E$6:E408,E408)&gt;=1,MATCH(E408,$E$6:$E$1000,0),COUNTA(UNIQUE(E$6:E408))),"000"))</f>
        <v/>
      </c>
    </row>
    <row r="409" spans="4:4">
      <c r="D409" s="5" t="str">
        <f>IF(E409="","","EMP-" &amp; TEXT(IF(COUNTIF(E$6:E409,E409)&gt;=1,MATCH(E409,$E$6:$E$1000,0),COUNTA(UNIQUE(E$6:E409))),"000"))</f>
        <v/>
      </c>
    </row>
    <row r="410" spans="4:4">
      <c r="D410" s="5" t="str">
        <f>IF(E410="","","EMP-" &amp; TEXT(IF(COUNTIF(E$6:E410,E410)&gt;=1,MATCH(E410,$E$6:$E$1000,0),COUNTA(UNIQUE(E$6:E410))),"000"))</f>
        <v/>
      </c>
    </row>
    <row r="411" spans="4:4">
      <c r="D411" s="5" t="str">
        <f>IF(E411="","","EMP-" &amp; TEXT(IF(COUNTIF(E$6:E411,E411)&gt;=1,MATCH(E411,$E$6:$E$1000,0),COUNTA(UNIQUE(E$6:E411))),"000"))</f>
        <v/>
      </c>
    </row>
    <row r="412" spans="4:4">
      <c r="D412" s="5" t="str">
        <f>IF(E412="","","EMP-" &amp; TEXT(IF(COUNTIF(E$6:E412,E412)&gt;=1,MATCH(E412,$E$6:$E$1000,0),COUNTA(UNIQUE(E$6:E412))),"000"))</f>
        <v/>
      </c>
    </row>
    <row r="413" spans="4:4">
      <c r="D413" s="5" t="str">
        <f>IF(E413="","","EMP-" &amp; TEXT(IF(COUNTIF(E$6:E413,E413)&gt;=1,MATCH(E413,$E$6:$E$1000,0),COUNTA(UNIQUE(E$6:E413))),"000"))</f>
        <v/>
      </c>
    </row>
    <row r="414" spans="4:4">
      <c r="D414" s="5" t="str">
        <f>IF(E414="","","EMP-" &amp; TEXT(IF(COUNTIF(E$6:E414,E414)&gt;=1,MATCH(E414,$E$6:$E$1000,0),COUNTA(UNIQUE(E$6:E414))),"000"))</f>
        <v/>
      </c>
    </row>
    <row r="415" spans="4:4">
      <c r="D415" s="5" t="str">
        <f>IF(E415="","","EMP-" &amp; TEXT(IF(COUNTIF(E$6:E415,E415)&gt;=1,MATCH(E415,$E$6:$E$1000,0),COUNTA(UNIQUE(E$6:E415))),"000"))</f>
        <v/>
      </c>
    </row>
    <row r="416" spans="4:4">
      <c r="D416" s="5" t="str">
        <f>IF(E416="","","EMP-" &amp; TEXT(IF(COUNTIF(E$6:E416,E416)&gt;=1,MATCH(E416,$E$6:$E$1000,0),COUNTA(UNIQUE(E$6:E416))),"000"))</f>
        <v/>
      </c>
    </row>
    <row r="417" spans="4:4">
      <c r="D417" s="5" t="str">
        <f>IF(E417="","","EMP-" &amp; TEXT(IF(COUNTIF(E$6:E417,E417)&gt;=1,MATCH(E417,$E$6:$E$1000,0),COUNTA(UNIQUE(E$6:E417))),"000"))</f>
        <v/>
      </c>
    </row>
    <row r="418" spans="4:4">
      <c r="D418" s="5" t="str">
        <f>IF(E418="","","EMP-" &amp; TEXT(IF(COUNTIF(E$6:E418,E418)&gt;=1,MATCH(E418,$E$6:$E$1000,0),COUNTA(UNIQUE(E$6:E418))),"000"))</f>
        <v/>
      </c>
    </row>
    <row r="419" spans="4:4">
      <c r="D419" s="5" t="str">
        <f>IF(E419="","","EMP-" &amp; TEXT(IF(COUNTIF(E$6:E419,E419)&gt;=1,MATCH(E419,$E$6:$E$1000,0),COUNTA(UNIQUE(E$6:E419))),"000"))</f>
        <v/>
      </c>
    </row>
    <row r="420" spans="4:4">
      <c r="D420" s="5" t="str">
        <f>IF(E420="","","EMP-" &amp; TEXT(IF(COUNTIF(E$6:E420,E420)&gt;=1,MATCH(E420,$E$6:$E$1000,0),COUNTA(UNIQUE(E$6:E420))),"000"))</f>
        <v/>
      </c>
    </row>
    <row r="421" spans="4:4">
      <c r="D421" s="5" t="str">
        <f>IF(E421="","","EMP-" &amp; TEXT(IF(COUNTIF(E$6:E421,E421)&gt;=1,MATCH(E421,$E$6:$E$1000,0),COUNTA(UNIQUE(E$6:E421))),"000"))</f>
        <v/>
      </c>
    </row>
    <row r="422" spans="4:4">
      <c r="D422" s="5" t="str">
        <f>IF(E422="","","EMP-" &amp; TEXT(IF(COUNTIF(E$6:E422,E422)&gt;=1,MATCH(E422,$E$6:$E$1000,0),COUNTA(UNIQUE(E$6:E422))),"000"))</f>
        <v/>
      </c>
    </row>
    <row r="423" spans="4:4">
      <c r="D423" s="5" t="str">
        <f>IF(E423="","","EMP-" &amp; TEXT(IF(COUNTIF(E$6:E423,E423)&gt;=1,MATCH(E423,$E$6:$E$1000,0),COUNTA(UNIQUE(E$6:E423))),"000"))</f>
        <v/>
      </c>
    </row>
    <row r="424" spans="4:4">
      <c r="D424" s="5" t="str">
        <f>IF(E424="","","EMP-" &amp; TEXT(IF(COUNTIF(E$6:E424,E424)&gt;=1,MATCH(E424,$E$6:$E$1000,0),COUNTA(UNIQUE(E$6:E424))),"000"))</f>
        <v/>
      </c>
    </row>
    <row r="425" spans="4:4">
      <c r="D425" s="5" t="str">
        <f>IF(E425="","","EMP-" &amp; TEXT(IF(COUNTIF(E$6:E425,E425)&gt;=1,MATCH(E425,$E$6:$E$1000,0),COUNTA(UNIQUE(E$6:E425))),"000"))</f>
        <v/>
      </c>
    </row>
    <row r="426" spans="4:4">
      <c r="D426" s="5" t="str">
        <f>IF(E426="","","EMP-" &amp; TEXT(IF(COUNTIF(E$6:E426,E426)&gt;=1,MATCH(E426,$E$6:$E$1000,0),COUNTA(UNIQUE(E$6:E426))),"000"))</f>
        <v/>
      </c>
    </row>
    <row r="427" spans="4:4">
      <c r="D427" s="5" t="str">
        <f>IF(E427="","","EMP-" &amp; TEXT(IF(COUNTIF(E$6:E427,E427)&gt;=1,MATCH(E427,$E$6:$E$1000,0),COUNTA(UNIQUE(E$6:E427))),"000"))</f>
        <v/>
      </c>
    </row>
    <row r="428" spans="4:4">
      <c r="D428" s="5" t="str">
        <f>IF(E428="","","EMP-" &amp; TEXT(IF(COUNTIF(E$6:E428,E428)&gt;=1,MATCH(E428,$E$6:$E$1000,0),COUNTA(UNIQUE(E$6:E428))),"000"))</f>
        <v/>
      </c>
    </row>
    <row r="429" spans="4:4">
      <c r="D429" s="5" t="str">
        <f>IF(E429="","","EMP-" &amp; TEXT(IF(COUNTIF(E$6:E429,E429)&gt;=1,MATCH(E429,$E$6:$E$1000,0),COUNTA(UNIQUE(E$6:E429))),"000"))</f>
        <v/>
      </c>
    </row>
    <row r="430" spans="4:4">
      <c r="D430" s="5" t="str">
        <f>IF(E430="","","EMP-" &amp; TEXT(IF(COUNTIF(E$6:E430,E430)&gt;=1,MATCH(E430,$E$6:$E$1000,0),COUNTA(UNIQUE(E$6:E430))),"000"))</f>
        <v/>
      </c>
    </row>
    <row r="431" spans="4:4">
      <c r="D431" s="5" t="str">
        <f>IF(E431="","","EMP-" &amp; TEXT(IF(COUNTIF(E$6:E431,E431)&gt;=1,MATCH(E431,$E$6:$E$1000,0),COUNTA(UNIQUE(E$6:E431))),"000"))</f>
        <v/>
      </c>
    </row>
    <row r="432" spans="4:4">
      <c r="D432" s="5" t="str">
        <f>IF(E432="","","EMP-" &amp; TEXT(IF(COUNTIF(E$6:E432,E432)&gt;=1,MATCH(E432,$E$6:$E$1000,0),COUNTA(UNIQUE(E$6:E432))),"000"))</f>
        <v/>
      </c>
    </row>
    <row r="433" spans="4:4">
      <c r="D433" s="5" t="str">
        <f>IF(E433="","","EMP-" &amp; TEXT(IF(COUNTIF(E$6:E433,E433)&gt;=1,MATCH(E433,$E$6:$E$1000,0),COUNTA(UNIQUE(E$6:E433))),"000"))</f>
        <v/>
      </c>
    </row>
    <row r="434" spans="4:4">
      <c r="D434" s="5" t="str">
        <f>IF(E434="","","EMP-" &amp; TEXT(IF(COUNTIF(E$6:E434,E434)&gt;=1,MATCH(E434,$E$6:$E$1000,0),COUNTA(UNIQUE(E$6:E434))),"000"))</f>
        <v/>
      </c>
    </row>
    <row r="435" spans="4:4">
      <c r="D435" s="5" t="str">
        <f>IF(E435="","","EMP-" &amp; TEXT(IF(COUNTIF(E$6:E435,E435)&gt;=1,MATCH(E435,$E$6:$E$1000,0),COUNTA(UNIQUE(E$6:E435))),"000"))</f>
        <v/>
      </c>
    </row>
    <row r="436" spans="4:4">
      <c r="D436" s="5" t="str">
        <f>IF(E436="","","EMP-" &amp; TEXT(IF(COUNTIF(E$6:E436,E436)&gt;=1,MATCH(E436,$E$6:$E$1000,0),COUNTA(UNIQUE(E$6:E436))),"000"))</f>
        <v/>
      </c>
    </row>
    <row r="437" spans="4:4">
      <c r="D437" s="5" t="str">
        <f>IF(E437="","","EMP-" &amp; TEXT(IF(COUNTIF(E$6:E437,E437)&gt;=1,MATCH(E437,$E$6:$E$1000,0),COUNTA(UNIQUE(E$6:E437))),"000"))</f>
        <v/>
      </c>
    </row>
    <row r="438" spans="4:4">
      <c r="D438" s="5" t="str">
        <f>IF(E438="","","EMP-" &amp; TEXT(IF(COUNTIF(E$6:E438,E438)&gt;=1,MATCH(E438,$E$6:$E$1000,0),COUNTA(UNIQUE(E$6:E438))),"000"))</f>
        <v/>
      </c>
    </row>
    <row r="439" spans="4:4">
      <c r="D439" s="5" t="str">
        <f>IF(E439="","","EMP-" &amp; TEXT(IF(COUNTIF(E$6:E439,E439)&gt;=1,MATCH(E439,$E$6:$E$1000,0),COUNTA(UNIQUE(E$6:E439))),"000"))</f>
        <v/>
      </c>
    </row>
    <row r="440" spans="4:4">
      <c r="D440" s="5" t="str">
        <f>IF(E440="","","EMP-" &amp; TEXT(IF(COUNTIF(E$6:E440,E440)&gt;=1,MATCH(E440,$E$6:$E$1000,0),COUNTA(UNIQUE(E$6:E440))),"000"))</f>
        <v/>
      </c>
    </row>
    <row r="441" spans="4:4">
      <c r="D441" s="5" t="str">
        <f>IF(E441="","","EMP-" &amp; TEXT(IF(COUNTIF(E$6:E441,E441)&gt;=1,MATCH(E441,$E$6:$E$1000,0),COUNTA(UNIQUE(E$6:E441))),"000"))</f>
        <v/>
      </c>
    </row>
    <row r="442" spans="4:4">
      <c r="D442" s="5" t="str">
        <f>IF(E442="","","EMP-" &amp; TEXT(IF(COUNTIF(E$6:E442,E442)&gt;=1,MATCH(E442,$E$6:$E$1000,0),COUNTA(UNIQUE(E$6:E442))),"000"))</f>
        <v/>
      </c>
    </row>
    <row r="443" spans="4:4">
      <c r="D443" s="5" t="str">
        <f>IF(E443="","","EMP-" &amp; TEXT(IF(COUNTIF(E$6:E443,E443)&gt;=1,MATCH(E443,$E$6:$E$1000,0),COUNTA(UNIQUE(E$6:E443))),"000"))</f>
        <v/>
      </c>
    </row>
    <row r="444" spans="4:4">
      <c r="D444" s="5" t="str">
        <f>IF(E444="","","EMP-" &amp; TEXT(IF(COUNTIF(E$6:E444,E444)&gt;=1,MATCH(E444,$E$6:$E$1000,0),COUNTA(UNIQUE(E$6:E444))),"000"))</f>
        <v/>
      </c>
    </row>
    <row r="445" spans="4:4">
      <c r="D445" s="5" t="str">
        <f>IF(E445="","","EMP-" &amp; TEXT(IF(COUNTIF(E$6:E445,E445)&gt;=1,MATCH(E445,$E$6:$E$1000,0),COUNTA(UNIQUE(E$6:E445))),"000"))</f>
        <v/>
      </c>
    </row>
    <row r="446" spans="4:4">
      <c r="D446" s="5" t="str">
        <f>IF(E446="","","EMP-" &amp; TEXT(IF(COUNTIF(E$6:E446,E446)&gt;=1,MATCH(E446,$E$6:$E$1000,0),COUNTA(UNIQUE(E$6:E446))),"000"))</f>
        <v/>
      </c>
    </row>
    <row r="447" spans="4:4">
      <c r="D447" s="5" t="str">
        <f>IF(E447="","","EMP-" &amp; TEXT(IF(COUNTIF(E$6:E447,E447)&gt;=1,MATCH(E447,$E$6:$E$1000,0),COUNTA(UNIQUE(E$6:E447))),"000"))</f>
        <v/>
      </c>
    </row>
    <row r="448" spans="4:4">
      <c r="D448" s="5" t="str">
        <f>IF(E448="","","EMP-" &amp; TEXT(IF(COUNTIF(E$6:E448,E448)&gt;=1,MATCH(E448,$E$6:$E$1000,0),COUNTA(UNIQUE(E$6:E448))),"000"))</f>
        <v/>
      </c>
    </row>
    <row r="449" spans="4:4">
      <c r="D449" s="5" t="str">
        <f>IF(E449="","","EMP-" &amp; TEXT(IF(COUNTIF(E$6:E449,E449)&gt;=1,MATCH(E449,$E$6:$E$1000,0),COUNTA(UNIQUE(E$6:E449))),"000"))</f>
        <v/>
      </c>
    </row>
    <row r="450" spans="4:4">
      <c r="D450" s="5" t="str">
        <f>IF(E450="","","EMP-" &amp; TEXT(IF(COUNTIF(E$6:E450,E450)&gt;=1,MATCH(E450,$E$6:$E$1000,0),COUNTA(UNIQUE(E$6:E450))),"000"))</f>
        <v/>
      </c>
    </row>
    <row r="451" spans="4:4">
      <c r="D451" s="5" t="str">
        <f>IF(E451="","","EMP-" &amp; TEXT(IF(COUNTIF(E$6:E451,E451)&gt;=1,MATCH(E451,$E$6:$E$1000,0),COUNTA(UNIQUE(E$6:E451))),"000"))</f>
        <v/>
      </c>
    </row>
    <row r="452" spans="4:4">
      <c r="D452" s="5" t="str">
        <f>IF(E452="","","EMP-" &amp; TEXT(IF(COUNTIF(E$6:E452,E452)&gt;=1,MATCH(E452,$E$6:$E$1000,0),COUNTA(UNIQUE(E$6:E452))),"000"))</f>
        <v/>
      </c>
    </row>
    <row r="453" spans="4:4">
      <c r="D453" s="5" t="str">
        <f>IF(E453="","","EMP-" &amp; TEXT(IF(COUNTIF(E$6:E453,E453)&gt;=1,MATCH(E453,$E$6:$E$1000,0),COUNTA(UNIQUE(E$6:E453))),"000"))</f>
        <v/>
      </c>
    </row>
    <row r="454" spans="4:4">
      <c r="D454" s="5" t="str">
        <f>IF(E454="","","EMP-" &amp; TEXT(IF(COUNTIF(E$6:E454,E454)&gt;=1,MATCH(E454,$E$6:$E$1000,0),COUNTA(UNIQUE(E$6:E454))),"000"))</f>
        <v/>
      </c>
    </row>
    <row r="455" spans="4:4">
      <c r="D455" s="5" t="str">
        <f>IF(E455="","","EMP-" &amp; TEXT(IF(COUNTIF(E$6:E455,E455)&gt;=1,MATCH(E455,$E$6:$E$1000,0),COUNTA(UNIQUE(E$6:E455))),"000"))</f>
        <v/>
      </c>
    </row>
    <row r="456" spans="4:4">
      <c r="D456" s="5" t="str">
        <f>IF(E456="","","EMP-" &amp; TEXT(IF(COUNTIF(E$6:E456,E456)&gt;=1,MATCH(E456,$E$6:$E$1000,0),COUNTA(UNIQUE(E$6:E456))),"000"))</f>
        <v/>
      </c>
    </row>
    <row r="457" spans="4:4">
      <c r="D457" s="5" t="str">
        <f>IF(E457="","","EMP-" &amp; TEXT(IF(COUNTIF(E$6:E457,E457)&gt;=1,MATCH(E457,$E$6:$E$1000,0),COUNTA(UNIQUE(E$6:E457))),"000"))</f>
        <v/>
      </c>
    </row>
    <row r="458" spans="4:4">
      <c r="D458" s="5" t="str">
        <f>IF(E458="","","EMP-" &amp; TEXT(IF(COUNTIF(E$6:E458,E458)&gt;=1,MATCH(E458,$E$6:$E$1000,0),COUNTA(UNIQUE(E$6:E458))),"000"))</f>
        <v/>
      </c>
    </row>
    <row r="459" spans="4:4">
      <c r="D459" s="5" t="str">
        <f>IF(E459="","","EMP-" &amp; TEXT(IF(COUNTIF(E$6:E459,E459)&gt;=1,MATCH(E459,$E$6:$E$1000,0),COUNTA(UNIQUE(E$6:E459))),"000"))</f>
        <v/>
      </c>
    </row>
    <row r="460" spans="4:4">
      <c r="D460" s="5" t="str">
        <f>IF(E460="","","EMP-" &amp; TEXT(IF(COUNTIF(E$6:E460,E460)&gt;=1,MATCH(E460,$E$6:$E$1000,0),COUNTA(UNIQUE(E$6:E460))),"000"))</f>
        <v/>
      </c>
    </row>
    <row r="461" spans="4:4">
      <c r="D461" s="5" t="str">
        <f>IF(E461="","","EMP-" &amp; TEXT(IF(COUNTIF(E$6:E461,E461)&gt;=1,MATCH(E461,$E$6:$E$1000,0),COUNTA(UNIQUE(E$6:E461))),"000"))</f>
        <v/>
      </c>
    </row>
    <row r="462" spans="4:4">
      <c r="D462" s="5" t="str">
        <f>IF(E462="","","EMP-" &amp; TEXT(IF(COUNTIF(E$6:E462,E462)&gt;=1,MATCH(E462,$E$6:$E$1000,0),COUNTA(UNIQUE(E$6:E462))),"000"))</f>
        <v/>
      </c>
    </row>
    <row r="463" spans="4:4">
      <c r="D463" s="5" t="str">
        <f>IF(E463="","","EMP-" &amp; TEXT(IF(COUNTIF(E$6:E463,E463)&gt;=1,MATCH(E463,$E$6:$E$1000,0),COUNTA(UNIQUE(E$6:E463))),"000"))</f>
        <v/>
      </c>
    </row>
    <row r="464" spans="4:4">
      <c r="D464" s="5" t="str">
        <f>IF(E464="","","EMP-" &amp; TEXT(IF(COUNTIF(E$6:E464,E464)&gt;=1,MATCH(E464,$E$6:$E$1000,0),COUNTA(UNIQUE(E$6:E464))),"000"))</f>
        <v/>
      </c>
    </row>
    <row r="465" spans="4:4">
      <c r="D465" s="5" t="str">
        <f>IF(E465="","","EMP-" &amp; TEXT(IF(COUNTIF(E$6:E465,E465)&gt;=1,MATCH(E465,$E$6:$E$1000,0),COUNTA(UNIQUE(E$6:E465))),"000"))</f>
        <v/>
      </c>
    </row>
    <row r="466" spans="4:4">
      <c r="D466" s="5" t="str">
        <f>IF(E466="","","EMP-" &amp; TEXT(IF(COUNTIF(E$6:E466,E466)&gt;=1,MATCH(E466,$E$6:$E$1000,0),COUNTA(UNIQUE(E$6:E466))),"000"))</f>
        <v/>
      </c>
    </row>
    <row r="467" spans="4:4">
      <c r="D467" s="5" t="str">
        <f>IF(E467="","","EMP-" &amp; TEXT(IF(COUNTIF(E$6:E467,E467)&gt;=1,MATCH(E467,$E$6:$E$1000,0),COUNTA(UNIQUE(E$6:E467))),"000"))</f>
        <v/>
      </c>
    </row>
    <row r="468" spans="4:4">
      <c r="D468" s="5" t="str">
        <f>IF(E468="","","EMP-" &amp; TEXT(IF(COUNTIF(E$6:E468,E468)&gt;=1,MATCH(E468,$E$6:$E$1000,0),COUNTA(UNIQUE(E$6:E468))),"000"))</f>
        <v/>
      </c>
    </row>
    <row r="469" spans="4:4">
      <c r="D469" s="5" t="str">
        <f>IF(E469="","","EMP-" &amp; TEXT(IF(COUNTIF(E$6:E469,E469)&gt;=1,MATCH(E469,$E$6:$E$1000,0),COUNTA(UNIQUE(E$6:E469))),"000"))</f>
        <v/>
      </c>
    </row>
    <row r="470" spans="4:4">
      <c r="D470" s="5" t="str">
        <f>IF(E470="","","EMP-" &amp; TEXT(IF(COUNTIF(E$6:E470,E470)&gt;=1,MATCH(E470,$E$6:$E$1000,0),COUNTA(UNIQUE(E$6:E470))),"000"))</f>
        <v/>
      </c>
    </row>
    <row r="471" spans="4:4">
      <c r="D471" s="5" t="str">
        <f>IF(E471="","","EMP-" &amp; TEXT(IF(COUNTIF(E$6:E471,E471)&gt;=1,MATCH(E471,$E$6:$E$1000,0),COUNTA(UNIQUE(E$6:E471))),"000"))</f>
        <v/>
      </c>
    </row>
    <row r="472" spans="4:4">
      <c r="D472" s="5" t="str">
        <f>IF(E472="","","EMP-" &amp; TEXT(IF(COUNTIF(E$6:E472,E472)&gt;=1,MATCH(E472,$E$6:$E$1000,0),COUNTA(UNIQUE(E$6:E472))),"000"))</f>
        <v/>
      </c>
    </row>
    <row r="473" spans="4:4">
      <c r="D473" s="5" t="str">
        <f>IF(E473="","","EMP-" &amp; TEXT(IF(COUNTIF(E$6:E473,E473)&gt;=1,MATCH(E473,$E$6:$E$1000,0),COUNTA(UNIQUE(E$6:E473))),"000"))</f>
        <v/>
      </c>
    </row>
    <row r="474" spans="4:4">
      <c r="D474" s="5" t="str">
        <f>IF(E474="","","EMP-" &amp; TEXT(IF(COUNTIF(E$6:E474,E474)&gt;=1,MATCH(E474,$E$6:$E$1000,0),COUNTA(UNIQUE(E$6:E474))),"000"))</f>
        <v/>
      </c>
    </row>
    <row r="475" spans="4:4">
      <c r="D475" s="5" t="str">
        <f>IF(E475="","","EMP-" &amp; TEXT(IF(COUNTIF(E$6:E475,E475)&gt;=1,MATCH(E475,$E$6:$E$1000,0),COUNTA(UNIQUE(E$6:E475))),"000"))</f>
        <v/>
      </c>
    </row>
    <row r="476" spans="4:4">
      <c r="D476" s="5" t="str">
        <f>IF(E476="","","EMP-" &amp; TEXT(IF(COUNTIF(E$6:E476,E476)&gt;=1,MATCH(E476,$E$6:$E$1000,0),COUNTA(UNIQUE(E$6:E476))),"000"))</f>
        <v/>
      </c>
    </row>
    <row r="477" spans="4:4">
      <c r="D477" s="5" t="str">
        <f>IF(E477="","","EMP-" &amp; TEXT(IF(COUNTIF(E$6:E477,E477)&gt;=1,MATCH(E477,$E$6:$E$1000,0),COUNTA(UNIQUE(E$6:E477))),"000"))</f>
        <v/>
      </c>
    </row>
    <row r="478" spans="4:4">
      <c r="D478" s="5" t="str">
        <f>IF(E478="","","EMP-" &amp; TEXT(IF(COUNTIF(E$6:E478,E478)&gt;=1,MATCH(E478,$E$6:$E$1000,0),COUNTA(UNIQUE(E$6:E478))),"000"))</f>
        <v/>
      </c>
    </row>
    <row r="479" spans="4:4">
      <c r="D479" s="5" t="str">
        <f>IF(E479="","","EMP-" &amp; TEXT(IF(COUNTIF(E$6:E479,E479)&gt;=1,MATCH(E479,$E$6:$E$1000,0),COUNTA(UNIQUE(E$6:E479))),"000"))</f>
        <v/>
      </c>
    </row>
    <row r="480" spans="4:4">
      <c r="D480" s="5" t="str">
        <f>IF(E480="","","EMP-" &amp; TEXT(IF(COUNTIF(E$6:E480,E480)&gt;=1,MATCH(E480,$E$6:$E$1000,0),COUNTA(UNIQUE(E$6:E480))),"000"))</f>
        <v/>
      </c>
    </row>
    <row r="481" spans="4:4">
      <c r="D481" s="5" t="str">
        <f>IF(E481="","","EMP-" &amp; TEXT(IF(COUNTIF(E$6:E481,E481)&gt;=1,MATCH(E481,$E$6:$E$1000,0),COUNTA(UNIQUE(E$6:E481))),"000"))</f>
        <v/>
      </c>
    </row>
    <row r="482" spans="4:4">
      <c r="D482" s="5" t="str">
        <f>IF(E482="","","EMP-" &amp; TEXT(IF(COUNTIF(E$6:E482,E482)&gt;=1,MATCH(E482,$E$6:$E$1000,0),COUNTA(UNIQUE(E$6:E482))),"000"))</f>
        <v/>
      </c>
    </row>
    <row r="483" spans="4:4">
      <c r="D483" s="5" t="str">
        <f>IF(E483="","","EMP-" &amp; TEXT(IF(COUNTIF(E$6:E483,E483)&gt;=1,MATCH(E483,$E$6:$E$1000,0),COUNTA(UNIQUE(E$6:E483))),"000"))</f>
        <v/>
      </c>
    </row>
    <row r="484" spans="4:4">
      <c r="D484" s="5" t="str">
        <f>IF(E484="","","EMP-" &amp; TEXT(IF(COUNTIF(E$6:E484,E484)&gt;=1,MATCH(E484,$E$6:$E$1000,0),COUNTA(UNIQUE(E$6:E484))),"000"))</f>
        <v/>
      </c>
    </row>
    <row r="485" spans="4:4">
      <c r="D485" s="5" t="str">
        <f>IF(E485="","","EMP-" &amp; TEXT(IF(COUNTIF(E$6:E485,E485)&gt;=1,MATCH(E485,$E$6:$E$1000,0),COUNTA(UNIQUE(E$6:E485))),"000"))</f>
        <v/>
      </c>
    </row>
    <row r="486" spans="4:4">
      <c r="D486" s="5" t="str">
        <f>IF(E486="","","EMP-" &amp; TEXT(IF(COUNTIF(E$6:E486,E486)&gt;=1,MATCH(E486,$E$6:$E$1000,0),COUNTA(UNIQUE(E$6:E486))),"000"))</f>
        <v/>
      </c>
    </row>
    <row r="487" spans="4:4">
      <c r="D487" s="5" t="str">
        <f>IF(E487="","","EMP-" &amp; TEXT(IF(COUNTIF(E$6:E487,E487)&gt;=1,MATCH(E487,$E$6:$E$1000,0),COUNTA(UNIQUE(E$6:E487))),"000"))</f>
        <v/>
      </c>
    </row>
    <row r="488" spans="4:4">
      <c r="D488" s="5" t="str">
        <f>IF(E488="","","EMP-" &amp; TEXT(IF(COUNTIF(E$6:E488,E488)&gt;=1,MATCH(E488,$E$6:$E$1000,0),COUNTA(UNIQUE(E$6:E488))),"000"))</f>
        <v/>
      </c>
    </row>
    <row r="489" spans="4:4">
      <c r="D489" s="5" t="str">
        <f>IF(E489="","","EMP-" &amp; TEXT(IF(COUNTIF(E$6:E489,E489)&gt;=1,MATCH(E489,$E$6:$E$1000,0),COUNTA(UNIQUE(E$6:E489))),"000"))</f>
        <v/>
      </c>
    </row>
    <row r="490" spans="4:4">
      <c r="D490" s="5" t="str">
        <f>IF(E490="","","EMP-" &amp; TEXT(IF(COUNTIF(E$6:E490,E490)&gt;=1,MATCH(E490,$E$6:$E$1000,0),COUNTA(UNIQUE(E$6:E490))),"000"))</f>
        <v/>
      </c>
    </row>
    <row r="491" spans="4:4">
      <c r="D491" s="5" t="str">
        <f>IF(E491="","","EMP-" &amp; TEXT(IF(COUNTIF(E$6:E491,E491)&gt;=1,MATCH(E491,$E$6:$E$1000,0),COUNTA(UNIQUE(E$6:E491))),"000"))</f>
        <v/>
      </c>
    </row>
    <row r="492" spans="4:4">
      <c r="D492" s="5" t="str">
        <f>IF(E492="","","EMP-" &amp; TEXT(IF(COUNTIF(E$6:E492,E492)&gt;=1,MATCH(E492,$E$6:$E$1000,0),COUNTA(UNIQUE(E$6:E492))),"000"))</f>
        <v/>
      </c>
    </row>
    <row r="493" spans="4:4">
      <c r="D493" s="5" t="str">
        <f>IF(E493="","","EMP-" &amp; TEXT(IF(COUNTIF(E$6:E493,E493)&gt;=1,MATCH(E493,$E$6:$E$1000,0),COUNTA(UNIQUE(E$6:E493))),"000"))</f>
        <v/>
      </c>
    </row>
    <row r="494" spans="4:4">
      <c r="D494" s="5" t="str">
        <f>IF(E494="","","EMP-" &amp; TEXT(IF(COUNTIF(E$6:E494,E494)&gt;=1,MATCH(E494,$E$6:$E$1000,0),COUNTA(UNIQUE(E$6:E494))),"000"))</f>
        <v/>
      </c>
    </row>
    <row r="495" spans="4:4">
      <c r="D495" s="5" t="str">
        <f>IF(E495="","","EMP-" &amp; TEXT(IF(COUNTIF(E$6:E495,E495)&gt;=1,MATCH(E495,$E$6:$E$1000,0),COUNTA(UNIQUE(E$6:E495))),"000"))</f>
        <v/>
      </c>
    </row>
    <row r="496" spans="4:4">
      <c r="D496" s="5" t="str">
        <f>IF(E496="","","EMP-" &amp; TEXT(IF(COUNTIF(E$6:E496,E496)&gt;=1,MATCH(E496,$E$6:$E$1000,0),COUNTA(UNIQUE(E$6:E496))),"000"))</f>
        <v/>
      </c>
    </row>
    <row r="497" spans="4:4">
      <c r="D497" s="5" t="str">
        <f>IF(E497="","","EMP-" &amp; TEXT(IF(COUNTIF(E$6:E497,E497)&gt;=1,MATCH(E497,$E$6:$E$1000,0),COUNTA(UNIQUE(E$6:E497))),"000"))</f>
        <v/>
      </c>
    </row>
    <row r="498" spans="4:4">
      <c r="D498" s="5" t="str">
        <f>IF(E498="","","EMP-" &amp; TEXT(IF(COUNTIF(E$6:E498,E498)&gt;=1,MATCH(E498,$E$6:$E$1000,0),COUNTA(UNIQUE(E$6:E498))),"000"))</f>
        <v/>
      </c>
    </row>
    <row r="499" spans="4:4">
      <c r="D499" s="5" t="str">
        <f>IF(E499="","","EMP-" &amp; TEXT(IF(COUNTIF(E$6:E499,E499)&gt;=1,MATCH(E499,$E$6:$E$1000,0),COUNTA(UNIQUE(E$6:E499))),"000"))</f>
        <v/>
      </c>
    </row>
    <row r="500" spans="4:4">
      <c r="D500" s="5" t="str">
        <f>IF(E500="","","EMP-" &amp; TEXT(IF(COUNTIF(E$6:E500,E500)&gt;=1,MATCH(E500,$E$6:$E$1000,0),COUNTA(UNIQUE(E$6:E500))),"000"))</f>
        <v/>
      </c>
    </row>
    <row r="501" spans="4:4">
      <c r="D501" s="5" t="str">
        <f>IF(E501="","","EMP-" &amp; TEXT(IF(COUNTIF(E$6:E501,E501)&gt;=1,MATCH(E501,$E$6:$E$1000,0),COUNTA(UNIQUE(E$6:E501))),"000"))</f>
        <v/>
      </c>
    </row>
    <row r="502" spans="4:4">
      <c r="D502" s="5" t="str">
        <f>IF(E502="","","EMP-" &amp; TEXT(IF(COUNTIF(E$6:E502,E502)&gt;=1,MATCH(E502,$E$6:$E$1000,0),COUNTA(UNIQUE(E$6:E502))),"000"))</f>
        <v/>
      </c>
    </row>
    <row r="503" spans="4:4">
      <c r="D503" s="5" t="str">
        <f>IF(E503="","","EMP-" &amp; TEXT(IF(COUNTIF(E$6:E503,E503)&gt;=1,MATCH(E503,$E$6:$E$1000,0),COUNTA(UNIQUE(E$6:E503))),"000"))</f>
        <v/>
      </c>
    </row>
    <row r="504" spans="4:4">
      <c r="D504" s="5" t="str">
        <f>IF(E504="","","EMP-" &amp; TEXT(IF(COUNTIF(E$6:E504,E504)&gt;=1,MATCH(E504,$E$6:$E$1000,0),COUNTA(UNIQUE(E$6:E504))),"000"))</f>
        <v/>
      </c>
    </row>
    <row r="505" spans="4:4">
      <c r="D505" s="5" t="str">
        <f>IF(E505="","","EMP-" &amp; TEXT(IF(COUNTIF(E$6:E505,E505)&gt;=1,MATCH(E505,$E$6:$E$1000,0),COUNTA(UNIQUE(E$6:E505))),"000"))</f>
        <v/>
      </c>
    </row>
    <row r="506" spans="4:4">
      <c r="D506" s="5" t="str">
        <f>IF(E506="","","EMP-" &amp; TEXT(IF(COUNTIF(E$6:E506,E506)&gt;=1,MATCH(E506,$E$6:$E$1000,0),COUNTA(UNIQUE(E$6:E506))),"000"))</f>
        <v/>
      </c>
    </row>
    <row r="507" spans="4:4">
      <c r="D507" s="5" t="str">
        <f>IF(E507="","","EMP-" &amp; TEXT(IF(COUNTIF(E$6:E507,E507)&gt;=1,MATCH(E507,$E$6:$E$1000,0),COUNTA(UNIQUE(E$6:E507))),"000"))</f>
        <v/>
      </c>
    </row>
    <row r="508" spans="4:4">
      <c r="D508" s="5" t="str">
        <f>IF(E508="","","EMP-" &amp; TEXT(IF(COUNTIF(E$6:E508,E508)&gt;=1,MATCH(E508,$E$6:$E$1000,0),COUNTA(UNIQUE(E$6:E508))),"000"))</f>
        <v/>
      </c>
    </row>
    <row r="509" spans="4:4">
      <c r="D509" s="5" t="str">
        <f>IF(E509="","","EMP-" &amp; TEXT(IF(COUNTIF(E$6:E509,E509)&gt;=1,MATCH(E509,$E$6:$E$1000,0),COUNTA(UNIQUE(E$6:E509))),"000"))</f>
        <v/>
      </c>
    </row>
    <row r="510" spans="4:4">
      <c r="D510" s="5" t="str">
        <f>IF(E510="","","EMP-" &amp; TEXT(IF(COUNTIF(E$6:E510,E510)&gt;=1,MATCH(E510,$E$6:$E$1000,0),COUNTA(UNIQUE(E$6:E510))),"000"))</f>
        <v/>
      </c>
    </row>
    <row r="511" spans="4:4">
      <c r="D511" s="5" t="str">
        <f>IF(E511="","","EMP-" &amp; TEXT(IF(COUNTIF(E$6:E511,E511)&gt;=1,MATCH(E511,$E$6:$E$1000,0),COUNTA(UNIQUE(E$6:E511))),"000"))</f>
        <v/>
      </c>
    </row>
    <row r="512" spans="4:4">
      <c r="D512" s="5" t="str">
        <f>IF(E512="","","EMP-" &amp; TEXT(IF(COUNTIF(E$6:E512,E512)&gt;=1,MATCH(E512,$E$6:$E$1000,0),COUNTA(UNIQUE(E$6:E512))),"000"))</f>
        <v/>
      </c>
    </row>
    <row r="513" spans="4:4">
      <c r="D513" s="5" t="str">
        <f>IF(E513="","","EMP-" &amp; TEXT(IF(COUNTIF(E$6:E513,E513)&gt;=1,MATCH(E513,$E$6:$E$1000,0),COUNTA(UNIQUE(E$6:E513))),"000"))</f>
        <v/>
      </c>
    </row>
    <row r="514" spans="4:4">
      <c r="D514" s="5" t="str">
        <f>IF(E514="","","EMP-" &amp; TEXT(IF(COUNTIF(E$6:E514,E514)&gt;=1,MATCH(E514,$E$6:$E$1000,0),COUNTA(UNIQUE(E$6:E514))),"000"))</f>
        <v/>
      </c>
    </row>
    <row r="515" spans="4:4">
      <c r="D515" s="5" t="str">
        <f>IF(E515="","","EMP-" &amp; TEXT(IF(COUNTIF(E$6:E515,E515)&gt;=1,MATCH(E515,$E$6:$E$1000,0),COUNTA(UNIQUE(E$6:E515))),"000"))</f>
        <v/>
      </c>
    </row>
    <row r="516" spans="4:4">
      <c r="D516" s="5" t="str">
        <f>IF(E516="","","EMP-" &amp; TEXT(IF(COUNTIF(E$6:E516,E516)&gt;=1,MATCH(E516,$E$6:$E$1000,0),COUNTA(UNIQUE(E$6:E516))),"000"))</f>
        <v/>
      </c>
    </row>
    <row r="517" spans="4:4">
      <c r="D517" s="5" t="str">
        <f>IF(E517="","","EMP-" &amp; TEXT(IF(COUNTIF(E$6:E517,E517)&gt;=1,MATCH(E517,$E$6:$E$1000,0),COUNTA(UNIQUE(E$6:E517))),"000"))</f>
        <v/>
      </c>
    </row>
    <row r="518" spans="4:4">
      <c r="D518" s="5" t="str">
        <f>IF(E518="","","EMP-" &amp; TEXT(IF(COUNTIF(E$6:E518,E518)&gt;=1,MATCH(E518,$E$6:$E$1000,0),COUNTA(UNIQUE(E$6:E518))),"000"))</f>
        <v/>
      </c>
    </row>
    <row r="519" spans="4:4">
      <c r="D519" s="5" t="str">
        <f>IF(E519="","","EMP-" &amp; TEXT(IF(COUNTIF(E$6:E519,E519)&gt;=1,MATCH(E519,$E$6:$E$1000,0),COUNTA(UNIQUE(E$6:E519))),"000"))</f>
        <v/>
      </c>
    </row>
    <row r="520" spans="4:4">
      <c r="D520" s="5" t="str">
        <f>IF(E520="","","EMP-" &amp; TEXT(IF(COUNTIF(E$6:E520,E520)&gt;=1,MATCH(E520,$E$6:$E$1000,0),COUNTA(UNIQUE(E$6:E520))),"000"))</f>
        <v/>
      </c>
    </row>
    <row r="521" spans="4:4">
      <c r="D521" s="5" t="str">
        <f>IF(E521="","","EMP-" &amp; TEXT(IF(COUNTIF(E$6:E521,E521)&gt;=1,MATCH(E521,$E$6:$E$1000,0),COUNTA(UNIQUE(E$6:E521))),"000"))</f>
        <v/>
      </c>
    </row>
    <row r="522" spans="4:4">
      <c r="D522" s="5" t="str">
        <f>IF(E522="","","EMP-" &amp; TEXT(IF(COUNTIF(E$6:E522,E522)&gt;=1,MATCH(E522,$E$6:$E$1000,0),COUNTA(UNIQUE(E$6:E522))),"000"))</f>
        <v/>
      </c>
    </row>
    <row r="523" spans="4:4">
      <c r="D523" s="5" t="str">
        <f>IF(E523="","","EMP-" &amp; TEXT(IF(COUNTIF(E$6:E523,E523)&gt;=1,MATCH(E523,$E$6:$E$1000,0),COUNTA(UNIQUE(E$6:E523))),"000"))</f>
        <v/>
      </c>
    </row>
    <row r="524" spans="4:4">
      <c r="D524" s="5" t="str">
        <f>IF(E524="","","EMP-" &amp; TEXT(IF(COUNTIF(E$6:E524,E524)&gt;=1,MATCH(E524,$E$6:$E$1000,0),COUNTA(UNIQUE(E$6:E524))),"000"))</f>
        <v/>
      </c>
    </row>
    <row r="525" spans="4:4">
      <c r="D525" s="5" t="str">
        <f>IF(E525="","","EMP-" &amp; TEXT(IF(COUNTIF(E$6:E525,E525)&gt;=1,MATCH(E525,$E$6:$E$1000,0),COUNTA(UNIQUE(E$6:E525))),"000"))</f>
        <v/>
      </c>
    </row>
    <row r="526" spans="4:4">
      <c r="D526" s="5" t="str">
        <f>IF(E526="","","EMP-" &amp; TEXT(IF(COUNTIF(E$6:E526,E526)&gt;=1,MATCH(E526,$E$6:$E$1000,0),COUNTA(UNIQUE(E$6:E526))),"000"))</f>
        <v/>
      </c>
    </row>
    <row r="527" spans="4:4">
      <c r="D527" s="5" t="str">
        <f>IF(E527="","","EMP-" &amp; TEXT(IF(COUNTIF(E$6:E527,E527)&gt;=1,MATCH(E527,$E$6:$E$1000,0),COUNTA(UNIQUE(E$6:E527))),"000"))</f>
        <v/>
      </c>
    </row>
    <row r="528" spans="4:4">
      <c r="D528" s="5" t="str">
        <f>IF(E528="","","EMP-" &amp; TEXT(IF(COUNTIF(E$6:E528,E528)&gt;=1,MATCH(E528,$E$6:$E$1000,0),COUNTA(UNIQUE(E$6:E528))),"000"))</f>
        <v/>
      </c>
    </row>
    <row r="529" spans="4:4">
      <c r="D529" s="5" t="str">
        <f>IF(E529="","","EMP-" &amp; TEXT(IF(COUNTIF(E$6:E529,E529)&gt;=1,MATCH(E529,$E$6:$E$1000,0),COUNTA(UNIQUE(E$6:E529))),"000"))</f>
        <v/>
      </c>
    </row>
    <row r="530" spans="4:4">
      <c r="D530" s="5" t="str">
        <f>IF(E530="","","EMP-" &amp; TEXT(IF(COUNTIF(E$6:E530,E530)&gt;=1,MATCH(E530,$E$6:$E$1000,0),COUNTA(UNIQUE(E$6:E530))),"000"))</f>
        <v/>
      </c>
    </row>
    <row r="531" spans="4:4">
      <c r="D531" s="5" t="str">
        <f>IF(E531="","","EMP-" &amp; TEXT(IF(COUNTIF(E$6:E531,E531)&gt;=1,MATCH(E531,$E$6:$E$1000,0),COUNTA(UNIQUE(E$6:E531))),"000"))</f>
        <v/>
      </c>
    </row>
    <row r="532" spans="4:4">
      <c r="D532" s="5" t="str">
        <f>IF(E532="","","EMP-" &amp; TEXT(IF(COUNTIF(E$6:E532,E532)&gt;=1,MATCH(E532,$E$6:$E$1000,0),COUNTA(UNIQUE(E$6:E532))),"000"))</f>
        <v/>
      </c>
    </row>
    <row r="533" spans="4:4">
      <c r="D533" s="5" t="str">
        <f>IF(E533="","","EMP-" &amp; TEXT(IF(COUNTIF(E$6:E533,E533)&gt;=1,MATCH(E533,$E$6:$E$1000,0),COUNTA(UNIQUE(E$6:E533))),"000"))</f>
        <v/>
      </c>
    </row>
    <row r="534" spans="4:4">
      <c r="D534" s="5" t="str">
        <f>IF(E534="","","EMP-" &amp; TEXT(IF(COUNTIF(E$6:E534,E534)&gt;=1,MATCH(E534,$E$6:$E$1000,0),COUNTA(UNIQUE(E$6:E534))),"000"))</f>
        <v/>
      </c>
    </row>
    <row r="535" spans="4:4">
      <c r="D535" s="5" t="str">
        <f>IF(E535="","","EMP-" &amp; TEXT(IF(COUNTIF(E$6:E535,E535)&gt;=1,MATCH(E535,$E$6:$E$1000,0),COUNTA(UNIQUE(E$6:E535))),"000"))</f>
        <v/>
      </c>
    </row>
    <row r="536" spans="4:4">
      <c r="D536" s="5" t="str">
        <f>IF(E536="","","EMP-" &amp; TEXT(IF(COUNTIF(E$6:E536,E536)&gt;=1,MATCH(E536,$E$6:$E$1000,0),COUNTA(UNIQUE(E$6:E536))),"000"))</f>
        <v/>
      </c>
    </row>
    <row r="537" spans="4:4">
      <c r="D537" s="5" t="str">
        <f>IF(E537="","","EMP-" &amp; TEXT(IF(COUNTIF(E$6:E537,E537)&gt;=1,MATCH(E537,$E$6:$E$1000,0),COUNTA(UNIQUE(E$6:E537))),"000"))</f>
        <v/>
      </c>
    </row>
    <row r="538" spans="4:4">
      <c r="D538" s="5" t="str">
        <f>IF(E538="","","EMP-" &amp; TEXT(IF(COUNTIF(E$6:E538,E538)&gt;=1,MATCH(E538,$E$6:$E$1000,0),COUNTA(UNIQUE(E$6:E538))),"000"))</f>
        <v/>
      </c>
    </row>
    <row r="539" spans="4:4">
      <c r="D539" s="5" t="str">
        <f>IF(E539="","","EMP-" &amp; TEXT(IF(COUNTIF(E$6:E539,E539)&gt;=1,MATCH(E539,$E$6:$E$1000,0),COUNTA(UNIQUE(E$6:E539))),"000"))</f>
        <v/>
      </c>
    </row>
    <row r="540" spans="4:4">
      <c r="D540" s="5" t="str">
        <f>IF(E540="","","EMP-" &amp; TEXT(IF(COUNTIF(E$6:E540,E540)&gt;=1,MATCH(E540,$E$6:$E$1000,0),COUNTA(UNIQUE(E$6:E540))),"000"))</f>
        <v/>
      </c>
    </row>
    <row r="541" spans="4:4">
      <c r="D541" s="5" t="str">
        <f>IF(E541="","","EMP-" &amp; TEXT(IF(COUNTIF(E$6:E541,E541)&gt;=1,MATCH(E541,$E$6:$E$1000,0),COUNTA(UNIQUE(E$6:E541))),"000"))</f>
        <v/>
      </c>
    </row>
    <row r="542" spans="4:4">
      <c r="D542" s="5" t="str">
        <f>IF(E542="","","EMP-" &amp; TEXT(IF(COUNTIF(E$6:E542,E542)&gt;=1,MATCH(E542,$E$6:$E$1000,0),COUNTA(UNIQUE(E$6:E542))),"000"))</f>
        <v/>
      </c>
    </row>
    <row r="543" spans="4:4">
      <c r="D543" s="5" t="str">
        <f>IF(E543="","","EMP-" &amp; TEXT(IF(COUNTIF(E$6:E543,E543)&gt;=1,MATCH(E543,$E$6:$E$1000,0),COUNTA(UNIQUE(E$6:E543))),"000"))</f>
        <v/>
      </c>
    </row>
    <row r="544" spans="4:4">
      <c r="D544" s="5" t="str">
        <f>IF(E544="","","EMP-" &amp; TEXT(IF(COUNTIF(E$6:E544,E544)&gt;=1,MATCH(E544,$E$6:$E$1000,0),COUNTA(UNIQUE(E$6:E544))),"000"))</f>
        <v/>
      </c>
    </row>
    <row r="545" spans="4:4">
      <c r="D545" s="5" t="str">
        <f>IF(E545="","","EMP-" &amp; TEXT(IF(COUNTIF(E$6:E545,E545)&gt;=1,MATCH(E545,$E$6:$E$1000,0),COUNTA(UNIQUE(E$6:E545))),"000"))</f>
        <v/>
      </c>
    </row>
    <row r="546" spans="4:4">
      <c r="D546" s="5" t="str">
        <f>IF(E546="","","EMP-" &amp; TEXT(IF(COUNTIF(E$6:E546,E546)&gt;=1,MATCH(E546,$E$6:$E$1000,0),COUNTA(UNIQUE(E$6:E546))),"000"))</f>
        <v/>
      </c>
    </row>
    <row r="547" spans="4:4">
      <c r="D547" s="5" t="str">
        <f>IF(E547="","","EMP-" &amp; TEXT(IF(COUNTIF(E$6:E547,E547)&gt;=1,MATCH(E547,$E$6:$E$1000,0),COUNTA(UNIQUE(E$6:E547))),"000"))</f>
        <v/>
      </c>
    </row>
    <row r="548" spans="4:4">
      <c r="D548" s="5" t="str">
        <f>IF(E548="","","EMP-" &amp; TEXT(IF(COUNTIF(E$6:E548,E548)&gt;=1,MATCH(E548,$E$6:$E$1000,0),COUNTA(UNIQUE(E$6:E548))),"000"))</f>
        <v/>
      </c>
    </row>
    <row r="549" spans="4:4">
      <c r="D549" s="5" t="str">
        <f>IF(E549="","","EMP-" &amp; TEXT(IF(COUNTIF(E$6:E549,E549)&gt;=1,MATCH(E549,$E$6:$E$1000,0),COUNTA(UNIQUE(E$6:E549))),"000"))</f>
        <v/>
      </c>
    </row>
    <row r="550" spans="4:4">
      <c r="D550" s="5" t="str">
        <f>IF(E550="","","EMP-" &amp; TEXT(IF(COUNTIF(E$6:E550,E550)&gt;=1,MATCH(E550,$E$6:$E$1000,0),COUNTA(UNIQUE(E$6:E550))),"000"))</f>
        <v/>
      </c>
    </row>
    <row r="551" spans="4:4">
      <c r="D551" s="5" t="str">
        <f>IF(E551="","","EMP-" &amp; TEXT(IF(COUNTIF(E$6:E551,E551)&gt;=1,MATCH(E551,$E$6:$E$1000,0),COUNTA(UNIQUE(E$6:E551))),"000"))</f>
        <v/>
      </c>
    </row>
    <row r="552" spans="4:4">
      <c r="D552" s="5" t="str">
        <f>IF(E552="","","EMP-" &amp; TEXT(IF(COUNTIF(E$6:E552,E552)&gt;=1,MATCH(E552,$E$6:$E$1000,0),COUNTA(UNIQUE(E$6:E552))),"000"))</f>
        <v/>
      </c>
    </row>
    <row r="553" spans="4:4">
      <c r="D553" s="5" t="str">
        <f>IF(E553="","","EMP-" &amp; TEXT(IF(COUNTIF(E$6:E553,E553)&gt;=1,MATCH(E553,$E$6:$E$1000,0),COUNTA(UNIQUE(E$6:E553))),"000"))</f>
        <v/>
      </c>
    </row>
    <row r="554" spans="4:4">
      <c r="D554" s="5" t="str">
        <f>IF(E554="","","EMP-" &amp; TEXT(IF(COUNTIF(E$6:E554,E554)&gt;=1,MATCH(E554,$E$6:$E$1000,0),COUNTA(UNIQUE(E$6:E554))),"000"))</f>
        <v/>
      </c>
    </row>
    <row r="555" spans="4:4">
      <c r="D555" s="5" t="str">
        <f>IF(E555="","","EMP-" &amp; TEXT(IF(COUNTIF(E$6:E555,E555)&gt;=1,MATCH(E555,$E$6:$E$1000,0),COUNTA(UNIQUE(E$6:E555))),"000"))</f>
        <v/>
      </c>
    </row>
    <row r="556" spans="4:4">
      <c r="D556" s="5" t="str">
        <f>IF(E556="","","EMP-" &amp; TEXT(IF(COUNTIF(E$6:E556,E556)&gt;=1,MATCH(E556,$E$6:$E$1000,0),COUNTA(UNIQUE(E$6:E556))),"000"))</f>
        <v/>
      </c>
    </row>
    <row r="557" spans="4:4">
      <c r="D557" s="5" t="str">
        <f>IF(E557="","","EMP-" &amp; TEXT(IF(COUNTIF(E$6:E557,E557)&gt;=1,MATCH(E557,$E$6:$E$1000,0),COUNTA(UNIQUE(E$6:E557))),"000"))</f>
        <v/>
      </c>
    </row>
    <row r="558" spans="4:4">
      <c r="D558" s="5" t="str">
        <f>IF(E558="","","EMP-" &amp; TEXT(IF(COUNTIF(E$6:E558,E558)&gt;=1,MATCH(E558,$E$6:$E$1000,0),COUNTA(UNIQUE(E$6:E558))),"000"))</f>
        <v/>
      </c>
    </row>
    <row r="559" spans="4:4">
      <c r="D559" s="5" t="str">
        <f>IF(E559="","","EMP-" &amp; TEXT(IF(COUNTIF(E$6:E559,E559)&gt;=1,MATCH(E559,$E$6:$E$1000,0),COUNTA(UNIQUE(E$6:E559))),"000"))</f>
        <v/>
      </c>
    </row>
    <row r="560" spans="4:4">
      <c r="D560" s="5" t="str">
        <f>IF(E560="","","EMP-" &amp; TEXT(IF(COUNTIF(E$6:E560,E560)&gt;=1,MATCH(E560,$E$6:$E$1000,0),COUNTA(UNIQUE(E$6:E560))),"000"))</f>
        <v/>
      </c>
    </row>
    <row r="561" spans="4:4">
      <c r="D561" s="5" t="str">
        <f>IF(E561="","","EMP-" &amp; TEXT(IF(COUNTIF(E$6:E561,E561)&gt;=1,MATCH(E561,$E$6:$E$1000,0),COUNTA(UNIQUE(E$6:E561))),"000"))</f>
        <v/>
      </c>
    </row>
    <row r="562" spans="4:4">
      <c r="D562" s="5" t="str">
        <f>IF(E562="","","EMP-" &amp; TEXT(IF(COUNTIF(E$6:E562,E562)&gt;=1,MATCH(E562,$E$6:$E$1000,0),COUNTA(UNIQUE(E$6:E562))),"000"))</f>
        <v/>
      </c>
    </row>
    <row r="563" spans="4:4">
      <c r="D563" s="5" t="str">
        <f>IF(E563="","","EMP-" &amp; TEXT(IF(COUNTIF(E$6:E563,E563)&gt;=1,MATCH(E563,$E$6:$E$1000,0),COUNTA(UNIQUE(E$6:E563))),"000"))</f>
        <v/>
      </c>
    </row>
    <row r="564" spans="4:4">
      <c r="D564" s="5" t="str">
        <f>IF(E564="","","EMP-" &amp; TEXT(IF(COUNTIF(E$6:E564,E564)&gt;=1,MATCH(E564,$E$6:$E$1000,0),COUNTA(UNIQUE(E$6:E564))),"000"))</f>
        <v/>
      </c>
    </row>
    <row r="565" spans="4:4">
      <c r="D565" s="5" t="str">
        <f>IF(E565="","","EMP-" &amp; TEXT(IF(COUNTIF(E$6:E565,E565)&gt;=1,MATCH(E565,$E$6:$E$1000,0),COUNTA(UNIQUE(E$6:E565))),"000"))</f>
        <v/>
      </c>
    </row>
    <row r="566" spans="4:4">
      <c r="D566" s="5" t="str">
        <f>IF(E566="","","EMP-" &amp; TEXT(IF(COUNTIF(E$6:E566,E566)&gt;=1,MATCH(E566,$E$6:$E$1000,0),COUNTA(UNIQUE(E$6:E566))),"000"))</f>
        <v/>
      </c>
    </row>
    <row r="567" spans="4:4">
      <c r="D567" s="5" t="str">
        <f>IF(E567="","","EMP-" &amp; TEXT(IF(COUNTIF(E$6:E567,E567)&gt;=1,MATCH(E567,$E$6:$E$1000,0),COUNTA(UNIQUE(E$6:E567))),"000"))</f>
        <v/>
      </c>
    </row>
    <row r="568" spans="4:4">
      <c r="D568" s="5" t="str">
        <f>IF(E568="","","EMP-" &amp; TEXT(IF(COUNTIF(E$6:E568,E568)&gt;=1,MATCH(E568,$E$6:$E$1000,0),COUNTA(UNIQUE(E$6:E568))),"000"))</f>
        <v/>
      </c>
    </row>
    <row r="569" spans="4:4">
      <c r="D569" s="5" t="str">
        <f>IF(E569="","","EMP-" &amp; TEXT(IF(COUNTIF(E$6:E569,E569)&gt;=1,MATCH(E569,$E$6:$E$1000,0),COUNTA(UNIQUE(E$6:E569))),"000"))</f>
        <v/>
      </c>
    </row>
    <row r="570" spans="4:4">
      <c r="D570" s="5" t="str">
        <f>IF(E570="","","EMP-" &amp; TEXT(IF(COUNTIF(E$6:E570,E570)&gt;=1,MATCH(E570,$E$6:$E$1000,0),COUNTA(UNIQUE(E$6:E570))),"000"))</f>
        <v/>
      </c>
    </row>
    <row r="571" spans="4:4">
      <c r="D571" s="5" t="str">
        <f>IF(E571="","","EMP-" &amp; TEXT(IF(COUNTIF(E$6:E571,E571)&gt;=1,MATCH(E571,$E$6:$E$1000,0),COUNTA(UNIQUE(E$6:E571))),"000"))</f>
        <v/>
      </c>
    </row>
    <row r="572" spans="4:4">
      <c r="D572" s="5" t="str">
        <f>IF(E572="","","EMP-" &amp; TEXT(IF(COUNTIF(E$6:E572,E572)&gt;=1,MATCH(E572,$E$6:$E$1000,0),COUNTA(UNIQUE(E$6:E572))),"000"))</f>
        <v/>
      </c>
    </row>
    <row r="573" spans="4:4">
      <c r="D573" s="5" t="str">
        <f>IF(E573="","","EMP-" &amp; TEXT(IF(COUNTIF(E$6:E573,E573)&gt;=1,MATCH(E573,$E$6:$E$1000,0),COUNTA(UNIQUE(E$6:E573))),"000"))</f>
        <v/>
      </c>
    </row>
    <row r="574" spans="4:4">
      <c r="D574" s="5" t="str">
        <f>IF(E574="","","EMP-" &amp; TEXT(IF(COUNTIF(E$6:E574,E574)&gt;=1,MATCH(E574,$E$6:$E$1000,0),COUNTA(UNIQUE(E$6:E574))),"000"))</f>
        <v/>
      </c>
    </row>
    <row r="575" spans="4:4">
      <c r="D575" s="5" t="str">
        <f>IF(E575="","","EMP-" &amp; TEXT(IF(COUNTIF(E$6:E575,E575)&gt;=1,MATCH(E575,$E$6:$E$1000,0),COUNTA(UNIQUE(E$6:E575))),"000"))</f>
        <v/>
      </c>
    </row>
    <row r="576" spans="4:4">
      <c r="D576" s="5" t="str">
        <f>IF(E576="","","EMP-" &amp; TEXT(IF(COUNTIF(E$6:E576,E576)&gt;=1,MATCH(E576,$E$6:$E$1000,0),COUNTA(UNIQUE(E$6:E576))),"000"))</f>
        <v/>
      </c>
    </row>
    <row r="577" spans="4:4">
      <c r="D577" s="5" t="str">
        <f>IF(E577="","","EMP-" &amp; TEXT(IF(COUNTIF(E$6:E577,E577)&gt;=1,MATCH(E577,$E$6:$E$1000,0),COUNTA(UNIQUE(E$6:E577))),"000"))</f>
        <v/>
      </c>
    </row>
    <row r="578" spans="4:4">
      <c r="D578" s="5" t="str">
        <f>IF(E578="","","EMP-" &amp; TEXT(IF(COUNTIF(E$6:E578,E578)&gt;=1,MATCH(E578,$E$6:$E$1000,0),COUNTA(UNIQUE(E$6:E578))),"000"))</f>
        <v/>
      </c>
    </row>
    <row r="579" spans="4:4">
      <c r="D579" s="5" t="str">
        <f>IF(E579="","","EMP-" &amp; TEXT(IF(COUNTIF(E$6:E579,E579)&gt;=1,MATCH(E579,$E$6:$E$1000,0),COUNTA(UNIQUE(E$6:E579))),"000"))</f>
        <v/>
      </c>
    </row>
    <row r="580" spans="4:4">
      <c r="D580" s="5" t="str">
        <f>IF(E580="","","EMP-" &amp; TEXT(IF(COUNTIF(E$6:E580,E580)&gt;=1,MATCH(E580,$E$6:$E$1000,0),COUNTA(UNIQUE(E$6:E580))),"000"))</f>
        <v/>
      </c>
    </row>
    <row r="581" spans="4:4">
      <c r="D581" s="5" t="str">
        <f>IF(E581="","","EMP-" &amp; TEXT(IF(COUNTIF(E$6:E581,E581)&gt;=1,MATCH(E581,$E$6:$E$1000,0),COUNTA(UNIQUE(E$6:E581))),"000"))</f>
        <v/>
      </c>
    </row>
    <row r="582" spans="4:4">
      <c r="D582" s="5" t="str">
        <f>IF(E582="","","EMP-" &amp; TEXT(IF(COUNTIF(E$6:E582,E582)&gt;=1,MATCH(E582,$E$6:$E$1000,0),COUNTA(UNIQUE(E$6:E582))),"000"))</f>
        <v/>
      </c>
    </row>
    <row r="583" spans="4:4">
      <c r="D583" s="5" t="str">
        <f>IF(E583="","","EMP-" &amp; TEXT(IF(COUNTIF(E$6:E583,E583)&gt;=1,MATCH(E583,$E$6:$E$1000,0),COUNTA(UNIQUE(E$6:E583))),"000"))</f>
        <v/>
      </c>
    </row>
    <row r="584" spans="4:4">
      <c r="D584" s="5" t="str">
        <f>IF(E584="","","EMP-" &amp; TEXT(IF(COUNTIF(E$6:E584,E584)&gt;=1,MATCH(E584,$E$6:$E$1000,0),COUNTA(UNIQUE(E$6:E584))),"000"))</f>
        <v/>
      </c>
    </row>
    <row r="585" spans="4:4">
      <c r="D585" s="5" t="str">
        <f>IF(E585="","","EMP-" &amp; TEXT(IF(COUNTIF(E$6:E585,E585)&gt;=1,MATCH(E585,$E$6:$E$1000,0),COUNTA(UNIQUE(E$6:E585))),"000"))</f>
        <v/>
      </c>
    </row>
    <row r="586" spans="4:4">
      <c r="D586" s="5" t="str">
        <f>IF(E586="","","EMP-" &amp; TEXT(IF(COUNTIF(E$6:E586,E586)&gt;=1,MATCH(E586,$E$6:$E$1000,0),COUNTA(UNIQUE(E$6:E586))),"000"))</f>
        <v/>
      </c>
    </row>
    <row r="587" spans="4:4">
      <c r="D587" s="5" t="str">
        <f>IF(E587="","","EMP-" &amp; TEXT(IF(COUNTIF(E$6:E587,E587)&gt;=1,MATCH(E587,$E$6:$E$1000,0),COUNTA(UNIQUE(E$6:E587))),"000"))</f>
        <v/>
      </c>
    </row>
    <row r="588" spans="4:4">
      <c r="D588" s="5" t="str">
        <f>IF(E588="","","EMP-" &amp; TEXT(IF(COUNTIF(E$6:E588,E588)&gt;=1,MATCH(E588,$E$6:$E$1000,0),COUNTA(UNIQUE(E$6:E588))),"000"))</f>
        <v/>
      </c>
    </row>
    <row r="589" spans="4:4">
      <c r="D589" s="5" t="str">
        <f>IF(E589="","","EMP-" &amp; TEXT(IF(COUNTIF(E$6:E589,E589)&gt;=1,MATCH(E589,$E$6:$E$1000,0),COUNTA(UNIQUE(E$6:E589))),"000"))</f>
        <v/>
      </c>
    </row>
    <row r="590" spans="4:4">
      <c r="D590" s="5" t="str">
        <f>IF(E590="","","EMP-" &amp; TEXT(IF(COUNTIF(E$6:E590,E590)&gt;=1,MATCH(E590,$E$6:$E$1000,0),COUNTA(UNIQUE(E$6:E590))),"000"))</f>
        <v/>
      </c>
    </row>
    <row r="591" spans="4:4">
      <c r="D591" s="5" t="str">
        <f>IF(E591="","","EMP-" &amp; TEXT(IF(COUNTIF(E$6:E591,E591)&gt;=1,MATCH(E591,$E$6:$E$1000,0),COUNTA(UNIQUE(E$6:E591))),"000"))</f>
        <v/>
      </c>
    </row>
    <row r="592" spans="4:4">
      <c r="D592" s="5" t="str">
        <f>IF(E592="","","EMP-" &amp; TEXT(IF(COUNTIF(E$6:E592,E592)&gt;=1,MATCH(E592,$E$6:$E$1000,0),COUNTA(UNIQUE(E$6:E592))),"000"))</f>
        <v/>
      </c>
    </row>
    <row r="593" spans="4:4">
      <c r="D593" s="5" t="str">
        <f>IF(E593="","","EMP-" &amp; TEXT(IF(COUNTIF(E$6:E593,E593)&gt;=1,MATCH(E593,$E$6:$E$1000,0),COUNTA(UNIQUE(E$6:E593))),"000"))</f>
        <v/>
      </c>
    </row>
    <row r="594" spans="4:4">
      <c r="D594" s="5" t="str">
        <f>IF(E594="","","EMP-" &amp; TEXT(IF(COUNTIF(E$6:E594,E594)&gt;=1,MATCH(E594,$E$6:$E$1000,0),COUNTA(UNIQUE(E$6:E594))),"000"))</f>
        <v/>
      </c>
    </row>
    <row r="595" spans="4:4">
      <c r="D595" s="5" t="str">
        <f>IF(E595="","","EMP-" &amp; TEXT(IF(COUNTIF(E$6:E595,E595)&gt;=1,MATCH(E595,$E$6:$E$1000,0),COUNTA(UNIQUE(E$6:E595))),"000"))</f>
        <v/>
      </c>
    </row>
    <row r="596" spans="4:4">
      <c r="D596" s="5" t="str">
        <f>IF(E596="","","EMP-" &amp; TEXT(IF(COUNTIF(E$6:E596,E596)&gt;=1,MATCH(E596,$E$6:$E$1000,0),COUNTA(UNIQUE(E$6:E596))),"000"))</f>
        <v/>
      </c>
    </row>
    <row r="597" spans="4:4">
      <c r="D597" s="5" t="str">
        <f>IF(E597="","","EMP-" &amp; TEXT(IF(COUNTIF(E$6:E597,E597)&gt;=1,MATCH(E597,$E$6:$E$1000,0),COUNTA(UNIQUE(E$6:E597))),"000"))</f>
        <v/>
      </c>
    </row>
    <row r="598" spans="4:4">
      <c r="D598" s="5" t="str">
        <f>IF(E598="","","EMP-" &amp; TEXT(IF(COUNTIF(E$6:E598,E598)&gt;=1,MATCH(E598,$E$6:$E$1000,0),COUNTA(UNIQUE(E$6:E598))),"000"))</f>
        <v/>
      </c>
    </row>
    <row r="599" spans="4:4">
      <c r="D599" s="5" t="str">
        <f>IF(E599="","","EMP-" &amp; TEXT(IF(COUNTIF(E$6:E599,E599)&gt;=1,MATCH(E599,$E$6:$E$1000,0),COUNTA(UNIQUE(E$6:E599))),"000"))</f>
        <v/>
      </c>
    </row>
    <row r="600" spans="4:4">
      <c r="D600" s="5" t="str">
        <f>IF(E600="","","EMP-" &amp; TEXT(IF(COUNTIF(E$6:E600,E600)&gt;=1,MATCH(E600,$E$6:$E$1000,0),COUNTA(UNIQUE(E$6:E600))),"000"))</f>
        <v/>
      </c>
    </row>
    <row r="601" spans="4:4">
      <c r="D601" s="5" t="str">
        <f>IF(E601="","","EMP-" &amp; TEXT(IF(COUNTIF(E$6:E601,E601)&gt;=1,MATCH(E601,$E$6:$E$1000,0),COUNTA(UNIQUE(E$6:E601))),"000"))</f>
        <v/>
      </c>
    </row>
    <row r="602" spans="4:4">
      <c r="D602" s="5" t="str">
        <f>IF(E602="","","EMP-" &amp; TEXT(IF(COUNTIF(E$6:E602,E602)&gt;=1,MATCH(E602,$E$6:$E$1000,0),COUNTA(UNIQUE(E$6:E602))),"000"))</f>
        <v/>
      </c>
    </row>
    <row r="603" spans="4:4">
      <c r="D603" s="5" t="str">
        <f>IF(E603="","","EMP-" &amp; TEXT(IF(COUNTIF(E$6:E603,E603)&gt;=1,MATCH(E603,$E$6:$E$1000,0),COUNTA(UNIQUE(E$6:E603))),"000"))</f>
        <v/>
      </c>
    </row>
    <row r="604" spans="4:4">
      <c r="D604" s="5" t="str">
        <f>IF(E604="","","EMP-" &amp; TEXT(IF(COUNTIF(E$6:E604,E604)&gt;=1,MATCH(E604,$E$6:$E$1000,0),COUNTA(UNIQUE(E$6:E604))),"000"))</f>
        <v/>
      </c>
    </row>
    <row r="605" spans="4:4">
      <c r="D605" s="5" t="str">
        <f>IF(E605="","","EMP-" &amp; TEXT(IF(COUNTIF(E$6:E605,E605)&gt;=1,MATCH(E605,$E$6:$E$1000,0),COUNTA(UNIQUE(E$6:E605))),"000"))</f>
        <v/>
      </c>
    </row>
    <row r="606" spans="4:4">
      <c r="D606" s="5" t="str">
        <f>IF(E606="","","EMP-" &amp; TEXT(IF(COUNTIF(E$6:E606,E606)&gt;=1,MATCH(E606,$E$6:$E$1000,0),COUNTA(UNIQUE(E$6:E606))),"000"))</f>
        <v/>
      </c>
    </row>
    <row r="607" spans="4:4">
      <c r="D607" s="5" t="str">
        <f>IF(E607="","","EMP-" &amp; TEXT(IF(COUNTIF(E$6:E607,E607)&gt;=1,MATCH(E607,$E$6:$E$1000,0),COUNTA(UNIQUE(E$6:E607))),"000"))</f>
        <v/>
      </c>
    </row>
    <row r="608" spans="4:4">
      <c r="D608" s="5" t="str">
        <f>IF(E608="","","EMP-" &amp; TEXT(IF(COUNTIF(E$6:E608,E608)&gt;=1,MATCH(E608,$E$6:$E$1000,0),COUNTA(UNIQUE(E$6:E608))),"000"))</f>
        <v/>
      </c>
    </row>
    <row r="609" spans="4:4">
      <c r="D609" s="5" t="str">
        <f>IF(E609="","","EMP-" &amp; TEXT(IF(COUNTIF(E$6:E609,E609)&gt;=1,MATCH(E609,$E$6:$E$1000,0),COUNTA(UNIQUE(E$6:E609))),"000"))</f>
        <v/>
      </c>
    </row>
    <row r="610" spans="4:4">
      <c r="D610" s="5" t="str">
        <f>IF(E610="","","EMP-" &amp; TEXT(IF(COUNTIF(E$6:E610,E610)&gt;=1,MATCH(E610,$E$6:$E$1000,0),COUNTA(UNIQUE(E$6:E610))),"000"))</f>
        <v/>
      </c>
    </row>
    <row r="611" spans="4:4">
      <c r="D611" s="5" t="str">
        <f>IF(E611="","","EMP-" &amp; TEXT(IF(COUNTIF(E$6:E611,E611)&gt;=1,MATCH(E611,$E$6:$E$1000,0),COUNTA(UNIQUE(E$6:E611))),"000"))</f>
        <v/>
      </c>
    </row>
    <row r="612" spans="4:4">
      <c r="D612" s="5" t="str">
        <f>IF(E612="","","EMP-" &amp; TEXT(IF(COUNTIF(E$6:E612,E612)&gt;=1,MATCH(E612,$E$6:$E$1000,0),COUNTA(UNIQUE(E$6:E612))),"000"))</f>
        <v/>
      </c>
    </row>
    <row r="613" spans="4:4">
      <c r="D613" s="5" t="str">
        <f>IF(E613="","","EMP-" &amp; TEXT(IF(COUNTIF(E$6:E613,E613)&gt;=1,MATCH(E613,$E$6:$E$1000,0),COUNTA(UNIQUE(E$6:E613))),"000"))</f>
        <v/>
      </c>
    </row>
    <row r="614" spans="4:4">
      <c r="D614" s="5" t="str">
        <f>IF(E614="","","EMP-" &amp; TEXT(IF(COUNTIF(E$6:E614,E614)&gt;=1,MATCH(E614,$E$6:$E$1000,0),COUNTA(UNIQUE(E$6:E614))),"000"))</f>
        <v/>
      </c>
    </row>
    <row r="615" spans="4:4">
      <c r="D615" s="5" t="str">
        <f>IF(E615="","","EMP-" &amp; TEXT(IF(COUNTIF(E$6:E615,E615)&gt;=1,MATCH(E615,$E$6:$E$1000,0),COUNTA(UNIQUE(E$6:E615))),"000"))</f>
        <v/>
      </c>
    </row>
    <row r="616" spans="4:4">
      <c r="D616" s="5" t="str">
        <f>IF(E616="","","EMP-" &amp; TEXT(IF(COUNTIF(E$6:E616,E616)&gt;=1,MATCH(E616,$E$6:$E$1000,0),COUNTA(UNIQUE(E$6:E616))),"000"))</f>
        <v/>
      </c>
    </row>
    <row r="617" spans="4:4">
      <c r="D617" s="5" t="str">
        <f>IF(E617="","","EMP-" &amp; TEXT(IF(COUNTIF(E$6:E617,E617)&gt;=1,MATCH(E617,$E$6:$E$1000,0),COUNTA(UNIQUE(E$6:E617))),"000"))</f>
        <v/>
      </c>
    </row>
    <row r="618" spans="4:4">
      <c r="D618" s="5" t="str">
        <f>IF(E618="","","EMP-" &amp; TEXT(IF(COUNTIF(E$6:E618,E618)&gt;=1,MATCH(E618,$E$6:$E$1000,0),COUNTA(UNIQUE(E$6:E618))),"000"))</f>
        <v/>
      </c>
    </row>
    <row r="619" spans="4:4">
      <c r="D619" s="5" t="str">
        <f>IF(E619="","","EMP-" &amp; TEXT(IF(COUNTIF(E$6:E619,E619)&gt;=1,MATCH(E619,$E$6:$E$1000,0),COUNTA(UNIQUE(E$6:E619))),"000"))</f>
        <v/>
      </c>
    </row>
    <row r="620" spans="4:4">
      <c r="D620" s="5" t="str">
        <f>IF(E620="","","EMP-" &amp; TEXT(IF(COUNTIF(E$6:E620,E620)&gt;=1,MATCH(E620,$E$6:$E$1000,0),COUNTA(UNIQUE(E$6:E620))),"000"))</f>
        <v/>
      </c>
    </row>
    <row r="621" spans="4:4">
      <c r="D621" s="5" t="str">
        <f>IF(E621="","","EMP-" &amp; TEXT(IF(COUNTIF(E$6:E621,E621)&gt;=1,MATCH(E621,$E$6:$E$1000,0),COUNTA(UNIQUE(E$6:E621))),"000"))</f>
        <v/>
      </c>
    </row>
    <row r="622" spans="4:4">
      <c r="D622" s="5" t="str">
        <f>IF(E622="","","EMP-" &amp; TEXT(IF(COUNTIF(E$6:E622,E622)&gt;=1,MATCH(E622,$E$6:$E$1000,0),COUNTA(UNIQUE(E$6:E622))),"000"))</f>
        <v/>
      </c>
    </row>
    <row r="623" spans="4:4">
      <c r="D623" s="5" t="str">
        <f>IF(E623="","","EMP-" &amp; TEXT(IF(COUNTIF(E$6:E623,E623)&gt;=1,MATCH(E623,$E$6:$E$1000,0),COUNTA(UNIQUE(E$6:E623))),"000"))</f>
        <v/>
      </c>
    </row>
    <row r="624" spans="4:4">
      <c r="D624" s="5" t="str">
        <f>IF(E624="","","EMP-" &amp; TEXT(IF(COUNTIF(E$6:E624,E624)&gt;=1,MATCH(E624,$E$6:$E$1000,0),COUNTA(UNIQUE(E$6:E624))),"000"))</f>
        <v/>
      </c>
    </row>
    <row r="625" spans="4:4">
      <c r="D625" s="5" t="str">
        <f>IF(E625="","","EMP-" &amp; TEXT(IF(COUNTIF(E$6:E625,E625)&gt;=1,MATCH(E625,$E$6:$E$1000,0),COUNTA(UNIQUE(E$6:E625))),"000"))</f>
        <v/>
      </c>
    </row>
    <row r="626" spans="4:4">
      <c r="D626" s="5" t="str">
        <f>IF(E626="","","EMP-" &amp; TEXT(IF(COUNTIF(E$6:E626,E626)&gt;=1,MATCH(E626,$E$6:$E$1000,0),COUNTA(UNIQUE(E$6:E626))),"000"))</f>
        <v/>
      </c>
    </row>
    <row r="627" spans="4:4">
      <c r="D627" s="5" t="str">
        <f>IF(E627="","","EMP-" &amp; TEXT(IF(COUNTIF(E$6:E627,E627)&gt;=1,MATCH(E627,$E$6:$E$1000,0),COUNTA(UNIQUE(E$6:E627))),"000"))</f>
        <v/>
      </c>
    </row>
    <row r="628" spans="4:4">
      <c r="D628" s="5" t="str">
        <f>IF(E628="","","EMP-" &amp; TEXT(IF(COUNTIF(E$6:E628,E628)&gt;=1,MATCH(E628,$E$6:$E$1000,0),COUNTA(UNIQUE(E$6:E628))),"000"))</f>
        <v/>
      </c>
    </row>
    <row r="629" spans="4:4">
      <c r="D629" s="5" t="str">
        <f>IF(E629="","","EMP-" &amp; TEXT(IF(COUNTIF(E$6:E629,E629)&gt;=1,MATCH(E629,$E$6:$E$1000,0),COUNTA(UNIQUE(E$6:E629))),"000"))</f>
        <v/>
      </c>
    </row>
    <row r="630" spans="4:4">
      <c r="D630" s="5" t="str">
        <f>IF(E630="","","EMP-" &amp; TEXT(IF(COUNTIF(E$6:E630,E630)&gt;=1,MATCH(E630,$E$6:$E$1000,0),COUNTA(UNIQUE(E$6:E630))),"000"))</f>
        <v/>
      </c>
    </row>
    <row r="631" spans="4:4">
      <c r="D631" s="5" t="str">
        <f>IF(E631="","","EMP-" &amp; TEXT(IF(COUNTIF(E$6:E631,E631)&gt;=1,MATCH(E631,$E$6:$E$1000,0),COUNTA(UNIQUE(E$6:E631))),"000"))</f>
        <v/>
      </c>
    </row>
    <row r="632" spans="4:4">
      <c r="D632" s="5" t="str">
        <f>IF(E632="","","EMP-" &amp; TEXT(IF(COUNTIF(E$6:E632,E632)&gt;=1,MATCH(E632,$E$6:$E$1000,0),COUNTA(UNIQUE(E$6:E632))),"000"))</f>
        <v/>
      </c>
    </row>
    <row r="633" spans="4:4">
      <c r="D633" s="5" t="str">
        <f>IF(E633="","","EMP-" &amp; TEXT(IF(COUNTIF(E$6:E633,E633)&gt;=1,MATCH(E633,$E$6:$E$1000,0),COUNTA(UNIQUE(E$6:E633))),"000"))</f>
        <v/>
      </c>
    </row>
    <row r="634" spans="4:4">
      <c r="D634" s="5" t="str">
        <f>IF(E634="","","EMP-" &amp; TEXT(IF(COUNTIF(E$6:E634,E634)&gt;=1,MATCH(E634,$E$6:$E$1000,0),COUNTA(UNIQUE(E$6:E634))),"000"))</f>
        <v/>
      </c>
    </row>
    <row r="635" spans="4:4">
      <c r="D635" s="5" t="str">
        <f>IF(E635="","","EMP-" &amp; TEXT(IF(COUNTIF(E$6:E635,E635)&gt;=1,MATCH(E635,$E$6:$E$1000,0),COUNTA(UNIQUE(E$6:E635))),"000"))</f>
        <v/>
      </c>
    </row>
    <row r="636" spans="4:4">
      <c r="D636" s="5" t="str">
        <f>IF(E636="","","EMP-" &amp; TEXT(IF(COUNTIF(E$6:E636,E636)&gt;=1,MATCH(E636,$E$6:$E$1000,0),COUNTA(UNIQUE(E$6:E636))),"000"))</f>
        <v/>
      </c>
    </row>
    <row r="637" spans="4:4">
      <c r="D637" s="5" t="str">
        <f>IF(E637="","","EMP-" &amp; TEXT(IF(COUNTIF(E$6:E637,E637)&gt;=1,MATCH(E637,$E$6:$E$1000,0),COUNTA(UNIQUE(E$6:E637))),"000"))</f>
        <v/>
      </c>
    </row>
    <row r="638" spans="4:4">
      <c r="D638" s="5" t="str">
        <f>IF(E638="","","EMP-" &amp; TEXT(IF(COUNTIF(E$6:E638,E638)&gt;=1,MATCH(E638,$E$6:$E$1000,0),COUNTA(UNIQUE(E$6:E638))),"000"))</f>
        <v/>
      </c>
    </row>
    <row r="639" spans="4:4">
      <c r="D639" s="5" t="str">
        <f>IF(E639="","","EMP-" &amp; TEXT(IF(COUNTIF(E$6:E639,E639)&gt;=1,MATCH(E639,$E$6:$E$1000,0),COUNTA(UNIQUE(E$6:E639))),"000"))</f>
        <v/>
      </c>
    </row>
    <row r="640" spans="4:4">
      <c r="D640" s="5" t="str">
        <f>IF(E640="","","EMP-" &amp; TEXT(IF(COUNTIF(E$6:E640,E640)&gt;=1,MATCH(E640,$E$6:$E$1000,0),COUNTA(UNIQUE(E$6:E640))),"000"))</f>
        <v/>
      </c>
    </row>
    <row r="641" spans="4:4">
      <c r="D641" s="5" t="str">
        <f>IF(E641="","","EMP-" &amp; TEXT(IF(COUNTIF(E$6:E641,E641)&gt;=1,MATCH(E641,$E$6:$E$1000,0),COUNTA(UNIQUE(E$6:E641))),"000"))</f>
        <v/>
      </c>
    </row>
    <row r="642" spans="4:4">
      <c r="D642" s="5" t="str">
        <f>IF(E642="","","EMP-" &amp; TEXT(IF(COUNTIF(E$6:E642,E642)&gt;=1,MATCH(E642,$E$6:$E$1000,0),COUNTA(UNIQUE(E$6:E642))),"000"))</f>
        <v/>
      </c>
    </row>
    <row r="643" spans="4:4">
      <c r="D643" s="5" t="str">
        <f>IF(E643="","","EMP-" &amp; TEXT(IF(COUNTIF(E$6:E643,E643)&gt;=1,MATCH(E643,$E$6:$E$1000,0),COUNTA(UNIQUE(E$6:E643))),"000"))</f>
        <v/>
      </c>
    </row>
    <row r="644" spans="4:4">
      <c r="D644" s="5" t="str">
        <f>IF(E644="","","EMP-" &amp; TEXT(IF(COUNTIF(E$6:E644,E644)&gt;=1,MATCH(E644,$E$6:$E$1000,0),COUNTA(UNIQUE(E$6:E644))),"000"))</f>
        <v/>
      </c>
    </row>
    <row r="645" spans="4:4">
      <c r="D645" s="5" t="str">
        <f>IF(E645="","","EMP-" &amp; TEXT(IF(COUNTIF(E$6:E645,E645)&gt;=1,MATCH(E645,$E$6:$E$1000,0),COUNTA(UNIQUE(E$6:E645))),"000"))</f>
        <v/>
      </c>
    </row>
    <row r="646" spans="4:4">
      <c r="D646" s="5" t="str">
        <f>IF(E646="","","EMP-" &amp; TEXT(IF(COUNTIF(E$6:E646,E646)&gt;=1,MATCH(E646,$E$6:$E$1000,0),COUNTA(UNIQUE(E$6:E646))),"000"))</f>
        <v/>
      </c>
    </row>
    <row r="647" spans="4:4">
      <c r="D647" s="5" t="str">
        <f>IF(E647="","","EMP-" &amp; TEXT(IF(COUNTIF(E$6:E647,E647)&gt;=1,MATCH(E647,$E$6:$E$1000,0),COUNTA(UNIQUE(E$6:E647))),"000"))</f>
        <v/>
      </c>
    </row>
    <row r="648" spans="4:4">
      <c r="D648" s="5" t="str">
        <f>IF(E648="","","EMP-" &amp; TEXT(IF(COUNTIF(E$6:E648,E648)&gt;=1,MATCH(E648,$E$6:$E$1000,0),COUNTA(UNIQUE(E$6:E648))),"000"))</f>
        <v/>
      </c>
    </row>
    <row r="649" spans="4:4">
      <c r="D649" s="5" t="str">
        <f>IF(E649="","","EMP-" &amp; TEXT(IF(COUNTIF(E$6:E649,E649)&gt;=1,MATCH(E649,$E$6:$E$1000,0),COUNTA(UNIQUE(E$6:E649))),"000"))</f>
        <v/>
      </c>
    </row>
    <row r="650" spans="4:4">
      <c r="D650" s="5" t="str">
        <f>IF(E650="","","EMP-" &amp; TEXT(IF(COUNTIF(E$6:E650,E650)&gt;=1,MATCH(E650,$E$6:$E$1000,0),COUNTA(UNIQUE(E$6:E650))),"000"))</f>
        <v/>
      </c>
    </row>
    <row r="651" spans="4:4">
      <c r="D651" s="5" t="str">
        <f>IF(E651="","","EMP-" &amp; TEXT(IF(COUNTIF(E$6:E651,E651)&gt;=1,MATCH(E651,$E$6:$E$1000,0),COUNTA(UNIQUE(E$6:E651))),"000"))</f>
        <v/>
      </c>
    </row>
    <row r="652" spans="4:4">
      <c r="D652" s="5" t="str">
        <f>IF(E652="","","EMP-" &amp; TEXT(IF(COUNTIF(E$6:E652,E652)&gt;=1,MATCH(E652,$E$6:$E$1000,0),COUNTA(UNIQUE(E$6:E652))),"000"))</f>
        <v/>
      </c>
    </row>
    <row r="653" spans="4:4">
      <c r="D653" s="5" t="str">
        <f>IF(E653="","","EMP-" &amp; TEXT(IF(COUNTIF(E$6:E653,E653)&gt;=1,MATCH(E653,$E$6:$E$1000,0),COUNTA(UNIQUE(E$6:E653))),"000"))</f>
        <v/>
      </c>
    </row>
    <row r="654" spans="4:4">
      <c r="D654" s="5" t="str">
        <f>IF(E654="","","EMP-" &amp; TEXT(IF(COUNTIF(E$6:E654,E654)&gt;=1,MATCH(E654,$E$6:$E$1000,0),COUNTA(UNIQUE(E$6:E654))),"000"))</f>
        <v/>
      </c>
    </row>
    <row r="655" spans="4:4">
      <c r="D655" s="5" t="str">
        <f>IF(E655="","","EMP-" &amp; TEXT(IF(COUNTIF(E$6:E655,E655)&gt;=1,MATCH(E655,$E$6:$E$1000,0),COUNTA(UNIQUE(E$6:E655))),"000"))</f>
        <v/>
      </c>
    </row>
    <row r="656" spans="4:4">
      <c r="D656" s="5" t="str">
        <f>IF(E656="","","EMP-" &amp; TEXT(IF(COUNTIF(E$6:E656,E656)&gt;=1,MATCH(E656,$E$6:$E$1000,0),COUNTA(UNIQUE(E$6:E656))),"000"))</f>
        <v/>
      </c>
    </row>
    <row r="657" spans="4:4">
      <c r="D657" s="5" t="str">
        <f>IF(E657="","","EMP-" &amp; TEXT(IF(COUNTIF(E$6:E657,E657)&gt;=1,MATCH(E657,$E$6:$E$1000,0),COUNTA(UNIQUE(E$6:E657))),"000"))</f>
        <v/>
      </c>
    </row>
    <row r="658" spans="4:4">
      <c r="D658" s="5" t="str">
        <f>IF(E658="","","EMP-" &amp; TEXT(IF(COUNTIF(E$6:E658,E658)&gt;=1,MATCH(E658,$E$6:$E$1000,0),COUNTA(UNIQUE(E$6:E658))),"000"))</f>
        <v/>
      </c>
    </row>
    <row r="659" spans="4:4">
      <c r="D659" s="5" t="str">
        <f>IF(E659="","","EMP-" &amp; TEXT(IF(COUNTIF(E$6:E659,E659)&gt;=1,MATCH(E659,$E$6:$E$1000,0),COUNTA(UNIQUE(E$6:E659))),"000"))</f>
        <v/>
      </c>
    </row>
    <row r="660" spans="4:4">
      <c r="D660" s="5" t="str">
        <f>IF(E660="","","EMP-" &amp; TEXT(IF(COUNTIF(E$6:E660,E660)&gt;=1,MATCH(E660,$E$6:$E$1000,0),COUNTA(UNIQUE(E$6:E660))),"000"))</f>
        <v/>
      </c>
    </row>
    <row r="661" spans="4:4">
      <c r="D661" s="5" t="str">
        <f>IF(E661="","","EMP-" &amp; TEXT(IF(COUNTIF(E$6:E661,E661)&gt;=1,MATCH(E661,$E$6:$E$1000,0),COUNTA(UNIQUE(E$6:E661))),"000"))</f>
        <v/>
      </c>
    </row>
    <row r="662" spans="4:4">
      <c r="D662" s="5" t="str">
        <f>IF(E662="","","EMP-" &amp; TEXT(IF(COUNTIF(E$6:E662,E662)&gt;=1,MATCH(E662,$E$6:$E$1000,0),COUNTA(UNIQUE(E$6:E662))),"000"))</f>
        <v/>
      </c>
    </row>
    <row r="663" spans="4:4">
      <c r="D663" s="5" t="str">
        <f>IF(E663="","","EMP-" &amp; TEXT(IF(COUNTIF(E$6:E663,E663)&gt;=1,MATCH(E663,$E$6:$E$1000,0),COUNTA(UNIQUE(E$6:E663))),"000"))</f>
        <v/>
      </c>
    </row>
    <row r="664" spans="4:4">
      <c r="D664" s="5" t="str">
        <f>IF(E664="","","EMP-" &amp; TEXT(IF(COUNTIF(E$6:E664,E664)&gt;=1,MATCH(E664,$E$6:$E$1000,0),COUNTA(UNIQUE(E$6:E664))),"000"))</f>
        <v/>
      </c>
    </row>
    <row r="665" spans="4:4">
      <c r="D665" s="5" t="str">
        <f>IF(E665="","","EMP-" &amp; TEXT(IF(COUNTIF(E$6:E665,E665)&gt;=1,MATCH(E665,$E$6:$E$1000,0),COUNTA(UNIQUE(E$6:E665))),"000"))</f>
        <v/>
      </c>
    </row>
    <row r="666" spans="4:4">
      <c r="D666" s="5" t="str">
        <f>IF(E666="","","EMP-" &amp; TEXT(IF(COUNTIF(E$6:E666,E666)&gt;=1,MATCH(E666,$E$6:$E$1000,0),COUNTA(UNIQUE(E$6:E666))),"000"))</f>
        <v/>
      </c>
    </row>
    <row r="667" spans="4:4">
      <c r="D667" s="5" t="str">
        <f>IF(E667="","","EMP-" &amp; TEXT(IF(COUNTIF(E$6:E667,E667)&gt;=1,MATCH(E667,$E$6:$E$1000,0),COUNTA(UNIQUE(E$6:E667))),"000"))</f>
        <v/>
      </c>
    </row>
    <row r="668" spans="4:4">
      <c r="D668" s="5" t="str">
        <f>IF(E668="","","EMP-" &amp; TEXT(IF(COUNTIF(E$6:E668,E668)&gt;=1,MATCH(E668,$E$6:$E$1000,0),COUNTA(UNIQUE(E$6:E668))),"000"))</f>
        <v/>
      </c>
    </row>
    <row r="669" spans="4:4">
      <c r="D669" s="5" t="str">
        <f>IF(E669="","","EMP-" &amp; TEXT(IF(COUNTIF(E$6:E669,E669)&gt;=1,MATCH(E669,$E$6:$E$1000,0),COUNTA(UNIQUE(E$6:E669))),"000"))</f>
        <v/>
      </c>
    </row>
    <row r="670" spans="4:4">
      <c r="D670" s="5" t="str">
        <f>IF(E670="","","EMP-" &amp; TEXT(IF(COUNTIF(E$6:E670,E670)&gt;=1,MATCH(E670,$E$6:$E$1000,0),COUNTA(UNIQUE(E$6:E670))),"000"))</f>
        <v/>
      </c>
    </row>
    <row r="671" spans="4:4">
      <c r="D671" s="5" t="str">
        <f>IF(E671="","","EMP-" &amp; TEXT(IF(COUNTIF(E$6:E671,E671)&gt;=1,MATCH(E671,$E$6:$E$1000,0),COUNTA(UNIQUE(E$6:E671))),"000"))</f>
        <v/>
      </c>
    </row>
    <row r="672" spans="4:4">
      <c r="D672" s="5" t="str">
        <f>IF(E672="","","EMP-" &amp; TEXT(IF(COUNTIF(E$6:E672,E672)&gt;=1,MATCH(E672,$E$6:$E$1000,0),COUNTA(UNIQUE(E$6:E672))),"000"))</f>
        <v/>
      </c>
    </row>
    <row r="673" spans="4:4">
      <c r="D673" s="5" t="str">
        <f>IF(E673="","","EMP-" &amp; TEXT(IF(COUNTIF(E$6:E673,E673)&gt;=1,MATCH(E673,$E$6:$E$1000,0),COUNTA(UNIQUE(E$6:E673))),"000"))</f>
        <v/>
      </c>
    </row>
    <row r="674" spans="4:4">
      <c r="D674" s="5" t="str">
        <f>IF(E674="","","EMP-" &amp; TEXT(IF(COUNTIF(E$6:E674,E674)&gt;=1,MATCH(E674,$E$6:$E$1000,0),COUNTA(UNIQUE(E$6:E674))),"000"))</f>
        <v/>
      </c>
    </row>
    <row r="675" spans="4:4">
      <c r="D675" s="5" t="str">
        <f>IF(E675="","","EMP-" &amp; TEXT(IF(COUNTIF(E$6:E675,E675)&gt;=1,MATCH(E675,$E$6:$E$1000,0),COUNTA(UNIQUE(E$6:E675))),"000"))</f>
        <v/>
      </c>
    </row>
    <row r="676" spans="4:4">
      <c r="D676" s="5" t="str">
        <f>IF(E676="","","EMP-" &amp; TEXT(IF(COUNTIF(E$6:E676,E676)&gt;=1,MATCH(E676,$E$6:$E$1000,0),COUNTA(UNIQUE(E$6:E676))),"000"))</f>
        <v/>
      </c>
    </row>
    <row r="677" spans="4:4">
      <c r="D677" s="5" t="str">
        <f>IF(E677="","","EMP-" &amp; TEXT(IF(COUNTIF(E$6:E677,E677)&gt;=1,MATCH(E677,$E$6:$E$1000,0),COUNTA(UNIQUE(E$6:E677))),"000"))</f>
        <v/>
      </c>
    </row>
    <row r="678" spans="4:4">
      <c r="D678" s="5" t="str">
        <f>IF(E678="","","EMP-" &amp; TEXT(IF(COUNTIF(E$6:E678,E678)&gt;=1,MATCH(E678,$E$6:$E$1000,0),COUNTA(UNIQUE(E$6:E678))),"000"))</f>
        <v/>
      </c>
    </row>
    <row r="679" spans="4:4">
      <c r="D679" s="5" t="str">
        <f>IF(E679="","","EMP-" &amp; TEXT(IF(COUNTIF(E$6:E679,E679)&gt;=1,MATCH(E679,$E$6:$E$1000,0),COUNTA(UNIQUE(E$6:E679))),"000"))</f>
        <v/>
      </c>
    </row>
    <row r="680" spans="4:4">
      <c r="D680" s="5" t="str">
        <f>IF(E680="","","EMP-" &amp; TEXT(IF(COUNTIF(E$6:E680,E680)&gt;=1,MATCH(E680,$E$6:$E$1000,0),COUNTA(UNIQUE(E$6:E680))),"000"))</f>
        <v/>
      </c>
    </row>
    <row r="681" spans="4:4">
      <c r="D681" s="5" t="str">
        <f>IF(E681="","","EMP-" &amp; TEXT(IF(COUNTIF(E$6:E681,E681)&gt;=1,MATCH(E681,$E$6:$E$1000,0),COUNTA(UNIQUE(E$6:E681))),"000"))</f>
        <v/>
      </c>
    </row>
    <row r="682" spans="4:4">
      <c r="D682" s="5" t="str">
        <f>IF(E682="","","EMP-" &amp; TEXT(IF(COUNTIF(E$6:E682,E682)&gt;=1,MATCH(E682,$E$6:$E$1000,0),COUNTA(UNIQUE(E$6:E682))),"000"))</f>
        <v/>
      </c>
    </row>
    <row r="683" spans="4:4">
      <c r="D683" s="5" t="str">
        <f>IF(E683="","","EMP-" &amp; TEXT(IF(COUNTIF(E$6:E683,E683)&gt;=1,MATCH(E683,$E$6:$E$1000,0),COUNTA(UNIQUE(E$6:E683))),"000"))</f>
        <v/>
      </c>
    </row>
    <row r="684" spans="4:4">
      <c r="D684" s="5" t="str">
        <f>IF(E684="","","EMP-" &amp; TEXT(IF(COUNTIF(E$6:E684,E684)&gt;=1,MATCH(E684,$E$6:$E$1000,0),COUNTA(UNIQUE(E$6:E684))),"000"))</f>
        <v/>
      </c>
    </row>
    <row r="685" spans="4:4">
      <c r="D685" s="5" t="str">
        <f>IF(E685="","","EMP-" &amp; TEXT(IF(COUNTIF(E$6:E685,E685)&gt;=1,MATCH(E685,$E$6:$E$1000,0),COUNTA(UNIQUE(E$6:E685))),"000"))</f>
        <v/>
      </c>
    </row>
    <row r="686" spans="4:4">
      <c r="D686" s="5" t="str">
        <f>IF(E686="","","EMP-" &amp; TEXT(IF(COUNTIF(E$6:E686,E686)&gt;=1,MATCH(E686,$E$6:$E$1000,0),COUNTA(UNIQUE(E$6:E686))),"000"))</f>
        <v/>
      </c>
    </row>
    <row r="687" spans="4:4">
      <c r="D687" s="5" t="str">
        <f>IF(E687="","","EMP-" &amp; TEXT(IF(COUNTIF(E$6:E687,E687)&gt;=1,MATCH(E687,$E$6:$E$1000,0),COUNTA(UNIQUE(E$6:E687))),"000"))</f>
        <v/>
      </c>
    </row>
    <row r="688" spans="4:4">
      <c r="D688" s="5" t="str">
        <f>IF(E688="","","EMP-" &amp; TEXT(IF(COUNTIF(E$6:E688,E688)&gt;=1,MATCH(E688,$E$6:$E$1000,0),COUNTA(UNIQUE(E$6:E688))),"000"))</f>
        <v/>
      </c>
    </row>
    <row r="689" spans="4:4">
      <c r="D689" s="5" t="str">
        <f>IF(E689="","","EMP-" &amp; TEXT(IF(COUNTIF(E$6:E689,E689)&gt;=1,MATCH(E689,$E$6:$E$1000,0),COUNTA(UNIQUE(E$6:E689))),"000"))</f>
        <v/>
      </c>
    </row>
    <row r="690" spans="4:4">
      <c r="D690" s="5" t="str">
        <f>IF(E690="","","EMP-" &amp; TEXT(IF(COUNTIF(E$6:E690,E690)&gt;=1,MATCH(E690,$E$6:$E$1000,0),COUNTA(UNIQUE(E$6:E690))),"000"))</f>
        <v/>
      </c>
    </row>
    <row r="691" spans="4:4">
      <c r="D691" s="5" t="str">
        <f>IF(E691="","","EMP-" &amp; TEXT(IF(COUNTIF(E$6:E691,E691)&gt;=1,MATCH(E691,$E$6:$E$1000,0),COUNTA(UNIQUE(E$6:E691))),"000"))</f>
        <v/>
      </c>
    </row>
    <row r="692" spans="4:4">
      <c r="D692" s="5" t="str">
        <f>IF(E692="","","EMP-" &amp; TEXT(IF(COUNTIF(E$6:E692,E692)&gt;=1,MATCH(E692,$E$6:$E$1000,0),COUNTA(UNIQUE(E$6:E692))),"000"))</f>
        <v/>
      </c>
    </row>
    <row r="693" spans="4:4">
      <c r="D693" s="5" t="str">
        <f>IF(E693="","","EMP-" &amp; TEXT(IF(COUNTIF(E$6:E693,E693)&gt;=1,MATCH(E693,$E$6:$E$1000,0),COUNTA(UNIQUE(E$6:E693))),"000"))</f>
        <v/>
      </c>
    </row>
    <row r="694" spans="4:4">
      <c r="D694" s="5" t="str">
        <f>IF(E694="","","EMP-" &amp; TEXT(IF(COUNTIF(E$6:E694,E694)&gt;=1,MATCH(E694,$E$6:$E$1000,0),COUNTA(UNIQUE(E$6:E694))),"000"))</f>
        <v/>
      </c>
    </row>
    <row r="695" spans="4:4">
      <c r="D695" s="5" t="str">
        <f>IF(E695="","","EMP-" &amp; TEXT(IF(COUNTIF(E$6:E695,E695)&gt;=1,MATCH(E695,$E$6:$E$1000,0),COUNTA(UNIQUE(E$6:E695))),"000"))</f>
        <v/>
      </c>
    </row>
    <row r="696" spans="4:4">
      <c r="D696" s="5" t="str">
        <f>IF(E696="","","EMP-" &amp; TEXT(IF(COUNTIF(E$6:E696,E696)&gt;=1,MATCH(E696,$E$6:$E$1000,0),COUNTA(UNIQUE(E$6:E696))),"000"))</f>
        <v/>
      </c>
    </row>
    <row r="697" spans="4:4">
      <c r="D697" s="5" t="str">
        <f>IF(E697="","","EMP-" &amp; TEXT(IF(COUNTIF(E$6:E697,E697)&gt;=1,MATCH(E697,$E$6:$E$1000,0),COUNTA(UNIQUE(E$6:E697))),"000"))</f>
        <v/>
      </c>
    </row>
    <row r="698" spans="4:4">
      <c r="D698" s="5" t="str">
        <f>IF(E698="","","EMP-" &amp; TEXT(IF(COUNTIF(E$6:E698,E698)&gt;=1,MATCH(E698,$E$6:$E$1000,0),COUNTA(UNIQUE(E$6:E698))),"000"))</f>
        <v/>
      </c>
    </row>
    <row r="699" spans="4:4">
      <c r="D699" s="5" t="str">
        <f>IF(E699="","","EMP-" &amp; TEXT(IF(COUNTIF(E$6:E699,E699)&gt;=1,MATCH(E699,$E$6:$E$1000,0),COUNTA(UNIQUE(E$6:E699))),"000"))</f>
        <v/>
      </c>
    </row>
    <row r="700" spans="4:4">
      <c r="D700" s="5" t="str">
        <f>IF(E700="","","EMP-" &amp; TEXT(IF(COUNTIF(E$6:E700,E700)&gt;=1,MATCH(E700,$E$6:$E$1000,0),COUNTA(UNIQUE(E$6:E700))),"000"))</f>
        <v/>
      </c>
    </row>
    <row r="701" spans="4:4">
      <c r="D701" s="5" t="str">
        <f>IF(E701="","","EMP-" &amp; TEXT(IF(COUNTIF(E$6:E701,E701)&gt;=1,MATCH(E701,$E$6:$E$1000,0),COUNTA(UNIQUE(E$6:E701))),"000"))</f>
        <v/>
      </c>
    </row>
    <row r="702" spans="4:4">
      <c r="D702" s="5" t="str">
        <f>IF(E702="","","EMP-" &amp; TEXT(IF(COUNTIF(E$6:E702,E702)&gt;=1,MATCH(E702,$E$6:$E$1000,0),COUNTA(UNIQUE(E$6:E702))),"000"))</f>
        <v/>
      </c>
    </row>
    <row r="703" spans="4:4">
      <c r="D703" s="5" t="str">
        <f>IF(E703="","","EMP-" &amp; TEXT(IF(COUNTIF(E$6:E703,E703)&gt;=1,MATCH(E703,$E$6:$E$1000,0),COUNTA(UNIQUE(E$6:E703))),"000"))</f>
        <v/>
      </c>
    </row>
    <row r="704" spans="4:4">
      <c r="D704" s="5" t="str">
        <f>IF(E704="","","EMP-" &amp; TEXT(IF(COUNTIF(E$6:E704,E704)&gt;=1,MATCH(E704,$E$6:$E$1000,0),COUNTA(UNIQUE(E$6:E704))),"000"))</f>
        <v/>
      </c>
    </row>
    <row r="705" spans="4:4">
      <c r="D705" s="5" t="str">
        <f>IF(E705="","","EMP-" &amp; TEXT(IF(COUNTIF(E$6:E705,E705)&gt;=1,MATCH(E705,$E$6:$E$1000,0),COUNTA(UNIQUE(E$6:E705))),"000"))</f>
        <v/>
      </c>
    </row>
    <row r="706" spans="4:4">
      <c r="D706" s="5" t="str">
        <f>IF(E706="","","EMP-" &amp; TEXT(IF(COUNTIF(E$6:E706,E706)&gt;=1,MATCH(E706,$E$6:$E$1000,0),COUNTA(UNIQUE(E$6:E706))),"000"))</f>
        <v/>
      </c>
    </row>
    <row r="707" spans="4:4">
      <c r="D707" s="5" t="str">
        <f>IF(E707="","","EMP-" &amp; TEXT(IF(COUNTIF(E$6:E707,E707)&gt;=1,MATCH(E707,$E$6:$E$1000,0),COUNTA(UNIQUE(E$6:E707))),"000"))</f>
        <v/>
      </c>
    </row>
    <row r="708" spans="4:4">
      <c r="D708" s="5" t="str">
        <f>IF(E708="","","EMP-" &amp; TEXT(IF(COUNTIF(E$6:E708,E708)&gt;=1,MATCH(E708,$E$6:$E$1000,0),COUNTA(UNIQUE(E$6:E708))),"000"))</f>
        <v/>
      </c>
    </row>
    <row r="709" spans="4:4">
      <c r="D709" s="5" t="str">
        <f>IF(E709="","","EMP-" &amp; TEXT(IF(COUNTIF(E$6:E709,E709)&gt;=1,MATCH(E709,$E$6:$E$1000,0),COUNTA(UNIQUE(E$6:E709))),"000"))</f>
        <v/>
      </c>
    </row>
    <row r="710" spans="4:4">
      <c r="D710" s="5" t="str">
        <f>IF(E710="","","EMP-" &amp; TEXT(IF(COUNTIF(E$6:E710,E710)&gt;=1,MATCH(E710,$E$6:$E$1000,0),COUNTA(UNIQUE(E$6:E710))),"000"))</f>
        <v/>
      </c>
    </row>
    <row r="711" spans="4:4">
      <c r="D711" s="5" t="str">
        <f>IF(E711="","","EMP-" &amp; TEXT(IF(COUNTIF(E$6:E711,E711)&gt;=1,MATCH(E711,$E$6:$E$1000,0),COUNTA(UNIQUE(E$6:E711))),"000"))</f>
        <v/>
      </c>
    </row>
    <row r="712" spans="4:4">
      <c r="D712" s="5" t="str">
        <f>IF(E712="","","EMP-" &amp; TEXT(IF(COUNTIF(E$6:E712,E712)&gt;=1,MATCH(E712,$E$6:$E$1000,0),COUNTA(UNIQUE(E$6:E712))),"000"))</f>
        <v/>
      </c>
    </row>
    <row r="713" spans="4:4">
      <c r="D713" s="5" t="str">
        <f>IF(E713="","","EMP-" &amp; TEXT(IF(COUNTIF(E$6:E713,E713)&gt;=1,MATCH(E713,$E$6:$E$1000,0),COUNTA(UNIQUE(E$6:E713))),"000"))</f>
        <v/>
      </c>
    </row>
    <row r="714" spans="4:4">
      <c r="D714" s="5" t="str">
        <f>IF(E714="","","EMP-" &amp; TEXT(IF(COUNTIF(E$6:E714,E714)&gt;=1,MATCH(E714,$E$6:$E$1000,0),COUNTA(UNIQUE(E$6:E714))),"000"))</f>
        <v/>
      </c>
    </row>
    <row r="715" spans="4:4">
      <c r="D715" s="5" t="str">
        <f>IF(E715="","","EMP-" &amp; TEXT(IF(COUNTIF(E$6:E715,E715)&gt;=1,MATCH(E715,$E$6:$E$1000,0),COUNTA(UNIQUE(E$6:E715))),"000"))</f>
        <v/>
      </c>
    </row>
    <row r="716" spans="4:4">
      <c r="D716" s="5" t="str">
        <f>IF(E716="","","EMP-" &amp; TEXT(IF(COUNTIF(E$6:E716,E716)&gt;=1,MATCH(E716,$E$6:$E$1000,0),COUNTA(UNIQUE(E$6:E716))),"000"))</f>
        <v/>
      </c>
    </row>
    <row r="717" spans="4:4">
      <c r="D717" s="5" t="str">
        <f>IF(E717="","","EMP-" &amp; TEXT(IF(COUNTIF(E$6:E717,E717)&gt;=1,MATCH(E717,$E$6:$E$1000,0),COUNTA(UNIQUE(E$6:E717))),"000"))</f>
        <v/>
      </c>
    </row>
    <row r="718" spans="4:4">
      <c r="D718" s="5" t="str">
        <f>IF(E718="","","EMP-" &amp; TEXT(IF(COUNTIF(E$6:E718,E718)&gt;=1,MATCH(E718,$E$6:$E$1000,0),COUNTA(UNIQUE(E$6:E718))),"000"))</f>
        <v/>
      </c>
    </row>
    <row r="719" spans="4:4">
      <c r="D719" s="5" t="str">
        <f>IF(E719="","","EMP-" &amp; TEXT(IF(COUNTIF(E$6:E719,E719)&gt;=1,MATCH(E719,$E$6:$E$1000,0),COUNTA(UNIQUE(E$6:E719))),"000"))</f>
        <v/>
      </c>
    </row>
    <row r="720" spans="4:4">
      <c r="D720" s="5" t="str">
        <f>IF(E720="","","EMP-" &amp; TEXT(IF(COUNTIF(E$6:E720,E720)&gt;=1,MATCH(E720,$E$6:$E$1000,0),COUNTA(UNIQUE(E$6:E720))),"000"))</f>
        <v/>
      </c>
    </row>
    <row r="721" spans="4:4">
      <c r="D721" s="5" t="str">
        <f>IF(E721="","","EMP-" &amp; TEXT(IF(COUNTIF(E$6:E721,E721)&gt;=1,MATCH(E721,$E$6:$E$1000,0),COUNTA(UNIQUE(E$6:E721))),"000"))</f>
        <v/>
      </c>
    </row>
    <row r="722" spans="4:4">
      <c r="D722" s="5" t="str">
        <f>IF(E722="","","EMP-" &amp; TEXT(IF(COUNTIF(E$6:E722,E722)&gt;=1,MATCH(E722,$E$6:$E$1000,0),COUNTA(UNIQUE(E$6:E722))),"000"))</f>
        <v/>
      </c>
    </row>
    <row r="723" spans="4:4">
      <c r="D723" s="5" t="str">
        <f>IF(E723="","","EMP-" &amp; TEXT(IF(COUNTIF(E$6:E723,E723)&gt;=1,MATCH(E723,$E$6:$E$1000,0),COUNTA(UNIQUE(E$6:E723))),"000"))</f>
        <v/>
      </c>
    </row>
    <row r="724" spans="4:4">
      <c r="D724" s="5" t="str">
        <f>IF(E724="","","EMP-" &amp; TEXT(IF(COUNTIF(E$6:E724,E724)&gt;=1,MATCH(E724,$E$6:$E$1000,0),COUNTA(UNIQUE(E$6:E724))),"000"))</f>
        <v/>
      </c>
    </row>
    <row r="725" spans="4:4">
      <c r="D725" s="5" t="str">
        <f>IF(E725="","","EMP-" &amp; TEXT(IF(COUNTIF(E$6:E725,E725)&gt;=1,MATCH(E725,$E$6:$E$1000,0),COUNTA(UNIQUE(E$6:E725))),"000"))</f>
        <v/>
      </c>
    </row>
    <row r="726" spans="4:4">
      <c r="D726" s="5" t="str">
        <f>IF(E726="","","EMP-" &amp; TEXT(IF(COUNTIF(E$6:E726,E726)&gt;=1,MATCH(E726,$E$6:$E$1000,0),COUNTA(UNIQUE(E$6:E726))),"000"))</f>
        <v/>
      </c>
    </row>
    <row r="727" spans="4:4">
      <c r="D727" s="5" t="str">
        <f>IF(E727="","","EMP-" &amp; TEXT(IF(COUNTIF(E$6:E727,E727)&gt;=1,MATCH(E727,$E$6:$E$1000,0),COUNTA(UNIQUE(E$6:E727))),"000"))</f>
        <v/>
      </c>
    </row>
    <row r="728" spans="4:4">
      <c r="D728" s="5" t="str">
        <f>IF(E728="","","EMP-" &amp; TEXT(IF(COUNTIF(E$6:E728,E728)&gt;=1,MATCH(E728,$E$6:$E$1000,0),COUNTA(UNIQUE(E$6:E728))),"000"))</f>
        <v/>
      </c>
    </row>
    <row r="729" spans="4:4">
      <c r="D729" s="5" t="str">
        <f>IF(E729="","","EMP-" &amp; TEXT(IF(COUNTIF(E$6:E729,E729)&gt;=1,MATCH(E729,$E$6:$E$1000,0),COUNTA(UNIQUE(E$6:E729))),"000"))</f>
        <v/>
      </c>
    </row>
    <row r="730" spans="4:4">
      <c r="D730" s="5" t="str">
        <f>IF(E730="","","EMP-" &amp; TEXT(IF(COUNTIF(E$6:E730,E730)&gt;=1,MATCH(E730,$E$6:$E$1000,0),COUNTA(UNIQUE(E$6:E730))),"000"))</f>
        <v/>
      </c>
    </row>
    <row r="731" spans="4:4">
      <c r="D731" s="5" t="str">
        <f>IF(E731="","","EMP-" &amp; TEXT(IF(COUNTIF(E$6:E731,E731)&gt;=1,MATCH(E731,$E$6:$E$1000,0),COUNTA(UNIQUE(E$6:E731))),"000"))</f>
        <v/>
      </c>
    </row>
    <row r="732" spans="4:4">
      <c r="D732" s="5" t="str">
        <f>IF(E732="","","EMP-" &amp; TEXT(IF(COUNTIF(E$6:E732,E732)&gt;=1,MATCH(E732,$E$6:$E$1000,0),COUNTA(UNIQUE(E$6:E732))),"000"))</f>
        <v/>
      </c>
    </row>
    <row r="733" spans="4:4">
      <c r="D733" s="5" t="str">
        <f>IF(E733="","","EMP-" &amp; TEXT(IF(COUNTIF(E$6:E733,E733)&gt;=1,MATCH(E733,$E$6:$E$1000,0),COUNTA(UNIQUE(E$6:E733))),"000"))</f>
        <v/>
      </c>
    </row>
    <row r="734" spans="4:4">
      <c r="D734" s="5" t="str">
        <f>IF(E734="","","EMP-" &amp; TEXT(IF(COUNTIF(E$6:E734,E734)&gt;=1,MATCH(E734,$E$6:$E$1000,0),COUNTA(UNIQUE(E$6:E734))),"000"))</f>
        <v/>
      </c>
    </row>
    <row r="735" spans="4:4">
      <c r="D735" s="5" t="str">
        <f>IF(E735="","","EMP-" &amp; TEXT(IF(COUNTIF(E$6:E735,E735)&gt;=1,MATCH(E735,$E$6:$E$1000,0),COUNTA(UNIQUE(E$6:E735))),"000"))</f>
        <v/>
      </c>
    </row>
    <row r="736" spans="4:4">
      <c r="D736" s="5" t="str">
        <f>IF(E736="","","EMP-" &amp; TEXT(IF(COUNTIF(E$6:E736,E736)&gt;=1,MATCH(E736,$E$6:$E$1000,0),COUNTA(UNIQUE(E$6:E736))),"000"))</f>
        <v/>
      </c>
    </row>
    <row r="737" spans="4:4">
      <c r="D737" s="5" t="str">
        <f>IF(E737="","","EMP-" &amp; TEXT(IF(COUNTIF(E$6:E737,E737)&gt;=1,MATCH(E737,$E$6:$E$1000,0),COUNTA(UNIQUE(E$6:E737))),"000"))</f>
        <v/>
      </c>
    </row>
    <row r="738" spans="4:4">
      <c r="D738" s="5" t="str">
        <f>IF(E738="","","EMP-" &amp; TEXT(IF(COUNTIF(E$6:E738,E738)&gt;=1,MATCH(E738,$E$6:$E$1000,0),COUNTA(UNIQUE(E$6:E738))),"000"))</f>
        <v/>
      </c>
    </row>
    <row r="739" spans="4:4">
      <c r="D739" s="5" t="str">
        <f>IF(E739="","","EMP-" &amp; TEXT(IF(COUNTIF(E$6:E739,E739)&gt;=1,MATCH(E739,$E$6:$E$1000,0),COUNTA(UNIQUE(E$6:E739))),"000"))</f>
        <v/>
      </c>
    </row>
    <row r="740" spans="4:4">
      <c r="D740" s="5" t="str">
        <f>IF(E740="","","EMP-" &amp; TEXT(IF(COUNTIF(E$6:E740,E740)&gt;=1,MATCH(E740,$E$6:$E$1000,0),COUNTA(UNIQUE(E$6:E740))),"000"))</f>
        <v/>
      </c>
    </row>
    <row r="741" spans="4:4">
      <c r="D741" s="5" t="str">
        <f>IF(E741="","","EMP-" &amp; TEXT(IF(COUNTIF(E$6:E741,E741)&gt;=1,MATCH(E741,$E$6:$E$1000,0),COUNTA(UNIQUE(E$6:E741))),"000"))</f>
        <v/>
      </c>
    </row>
    <row r="742" spans="4:4">
      <c r="D742" s="5" t="str">
        <f>IF(E742="","","EMP-" &amp; TEXT(IF(COUNTIF(E$6:E742,E742)&gt;=1,MATCH(E742,$E$6:$E$1000,0),COUNTA(UNIQUE(E$6:E742))),"000"))</f>
        <v/>
      </c>
    </row>
    <row r="743" spans="4:4">
      <c r="D743" s="5" t="str">
        <f>IF(E743="","","EMP-" &amp; TEXT(IF(COUNTIF(E$6:E743,E743)&gt;=1,MATCH(E743,$E$6:$E$1000,0),COUNTA(UNIQUE(E$6:E743))),"000"))</f>
        <v/>
      </c>
    </row>
    <row r="744" spans="4:4">
      <c r="D744" s="5" t="str">
        <f>IF(E744="","","EMP-" &amp; TEXT(IF(COUNTIF(E$6:E744,E744)&gt;=1,MATCH(E744,$E$6:$E$1000,0),COUNTA(UNIQUE(E$6:E744))),"000"))</f>
        <v/>
      </c>
    </row>
    <row r="745" spans="4:4">
      <c r="D745" s="5" t="str">
        <f>IF(E745="","","EMP-" &amp; TEXT(IF(COUNTIF(E$6:E745,E745)&gt;=1,MATCH(E745,$E$6:$E$1000,0),COUNTA(UNIQUE(E$6:E745))),"000"))</f>
        <v/>
      </c>
    </row>
    <row r="746" spans="4:4">
      <c r="D746" s="5" t="str">
        <f>IF(E746="","","EMP-" &amp; TEXT(IF(COUNTIF(E$6:E746,E746)&gt;=1,MATCH(E746,$E$6:$E$1000,0),COUNTA(UNIQUE(E$6:E746))),"000"))</f>
        <v/>
      </c>
    </row>
    <row r="747" spans="4:4">
      <c r="D747" s="5" t="str">
        <f>IF(E747="","","EMP-" &amp; TEXT(IF(COUNTIF(E$6:E747,E747)&gt;=1,MATCH(E747,$E$6:$E$1000,0),COUNTA(UNIQUE(E$6:E747))),"000"))</f>
        <v/>
      </c>
    </row>
    <row r="748" spans="4:4">
      <c r="D748" s="5" t="str">
        <f>IF(E748="","","EMP-" &amp; TEXT(IF(COUNTIF(E$6:E748,E748)&gt;=1,MATCH(E748,$E$6:$E$1000,0),COUNTA(UNIQUE(E$6:E748))),"000"))</f>
        <v/>
      </c>
    </row>
    <row r="749" spans="4:4">
      <c r="D749" s="5" t="str">
        <f>IF(E749="","","EMP-" &amp; TEXT(IF(COUNTIF(E$6:E749,E749)&gt;=1,MATCH(E749,$E$6:$E$1000,0),COUNTA(UNIQUE(E$6:E749))),"000"))</f>
        <v/>
      </c>
    </row>
    <row r="750" spans="4:4">
      <c r="D750" s="5" t="str">
        <f>IF(E750="","","EMP-" &amp; TEXT(IF(COUNTIF(E$6:E750,E750)&gt;=1,MATCH(E750,$E$6:$E$1000,0),COUNTA(UNIQUE(E$6:E750))),"000"))</f>
        <v/>
      </c>
    </row>
    <row r="751" spans="4:4">
      <c r="D751" s="5" t="str">
        <f>IF(E751="","","EMP-" &amp; TEXT(IF(COUNTIF(E$6:E751,E751)&gt;=1,MATCH(E751,$E$6:$E$1000,0),COUNTA(UNIQUE(E$6:E751))),"000"))</f>
        <v/>
      </c>
    </row>
    <row r="752" spans="4:4">
      <c r="D752" s="5" t="str">
        <f>IF(E752="","","EMP-" &amp; TEXT(IF(COUNTIF(E$6:E752,E752)&gt;=1,MATCH(E752,$E$6:$E$1000,0),COUNTA(UNIQUE(E$6:E752))),"000"))</f>
        <v/>
      </c>
    </row>
    <row r="753" spans="4:4">
      <c r="D753" s="5" t="str">
        <f>IF(E753="","","EMP-" &amp; TEXT(IF(COUNTIF(E$6:E753,E753)&gt;=1,MATCH(E753,$E$6:$E$1000,0),COUNTA(UNIQUE(E$6:E753))),"000"))</f>
        <v/>
      </c>
    </row>
    <row r="754" spans="4:4">
      <c r="D754" s="5" t="str">
        <f>IF(E754="","","EMP-" &amp; TEXT(IF(COUNTIF(E$6:E754,E754)&gt;=1,MATCH(E754,$E$6:$E$1000,0),COUNTA(UNIQUE(E$6:E754))),"000"))</f>
        <v/>
      </c>
    </row>
    <row r="755" spans="4:4">
      <c r="D755" s="5" t="str">
        <f>IF(E755="","","EMP-" &amp; TEXT(IF(COUNTIF(E$6:E755,E755)&gt;=1,MATCH(E755,$E$6:$E$1000,0),COUNTA(UNIQUE(E$6:E755))),"000"))</f>
        <v/>
      </c>
    </row>
    <row r="756" spans="4:4">
      <c r="D756" s="5" t="str">
        <f>IF(E756="","","EMP-" &amp; TEXT(IF(COUNTIF(E$6:E756,E756)&gt;=1,MATCH(E756,$E$6:$E$1000,0),COUNTA(UNIQUE(E$6:E756))),"000"))</f>
        <v/>
      </c>
    </row>
    <row r="757" spans="4:4">
      <c r="D757" s="5" t="str">
        <f>IF(E757="","","EMP-" &amp; TEXT(IF(COUNTIF(E$6:E757,E757)&gt;=1,MATCH(E757,$E$6:$E$1000,0),COUNTA(UNIQUE(E$6:E757))),"000"))</f>
        <v/>
      </c>
    </row>
    <row r="758" spans="4:4">
      <c r="D758" s="5" t="str">
        <f>IF(E758="","","EMP-" &amp; TEXT(IF(COUNTIF(E$6:E758,E758)&gt;=1,MATCH(E758,$E$6:$E$1000,0),COUNTA(UNIQUE(E$6:E758))),"000"))</f>
        <v/>
      </c>
    </row>
    <row r="759" spans="4:4">
      <c r="D759" s="5" t="str">
        <f>IF(E759="","","EMP-" &amp; TEXT(IF(COUNTIF(E$6:E759,E759)&gt;=1,MATCH(E759,$E$6:$E$1000,0),COUNTA(UNIQUE(E$6:E759))),"000"))</f>
        <v/>
      </c>
    </row>
    <row r="760" spans="4:4">
      <c r="D760" s="5" t="str">
        <f>IF(E760="","","EMP-" &amp; TEXT(IF(COUNTIF(E$6:E760,E760)&gt;=1,MATCH(E760,$E$6:$E$1000,0),COUNTA(UNIQUE(E$6:E760))),"000"))</f>
        <v/>
      </c>
    </row>
    <row r="761" spans="4:4">
      <c r="D761" s="5" t="str">
        <f>IF(E761="","","EMP-" &amp; TEXT(IF(COUNTIF(E$6:E761,E761)&gt;=1,MATCH(E761,$E$6:$E$1000,0),COUNTA(UNIQUE(E$6:E761))),"000"))</f>
        <v/>
      </c>
    </row>
    <row r="762" spans="4:4">
      <c r="D762" s="5" t="str">
        <f>IF(E762="","","EMP-" &amp; TEXT(IF(COUNTIF(E$6:E762,E762)&gt;=1,MATCH(E762,$E$6:$E$1000,0),COUNTA(UNIQUE(E$6:E762))),"000"))</f>
        <v/>
      </c>
    </row>
    <row r="763" spans="4:4">
      <c r="D763" s="5" t="str">
        <f>IF(E763="","","EMP-" &amp; TEXT(IF(COUNTIF(E$6:E763,E763)&gt;=1,MATCH(E763,$E$6:$E$1000,0),COUNTA(UNIQUE(E$6:E763))),"000"))</f>
        <v/>
      </c>
    </row>
    <row r="764" spans="4:4">
      <c r="D764" s="5" t="str">
        <f>IF(E764="","","EMP-" &amp; TEXT(IF(COUNTIF(E$6:E764,E764)&gt;=1,MATCH(E764,$E$6:$E$1000,0),COUNTA(UNIQUE(E$6:E764))),"000"))</f>
        <v/>
      </c>
    </row>
    <row r="765" spans="4:4">
      <c r="D765" s="5" t="str">
        <f>IF(E765="","","EMP-" &amp; TEXT(IF(COUNTIF(E$6:E765,E765)&gt;=1,MATCH(E765,$E$6:$E$1000,0),COUNTA(UNIQUE(E$6:E765))),"000"))</f>
        <v/>
      </c>
    </row>
    <row r="766" spans="4:4">
      <c r="D766" s="5" t="str">
        <f>IF(E766="","","EMP-" &amp; TEXT(IF(COUNTIF(E$6:E766,E766)&gt;=1,MATCH(E766,$E$6:$E$1000,0),COUNTA(UNIQUE(E$6:E766))),"000"))</f>
        <v/>
      </c>
    </row>
    <row r="767" spans="4:4">
      <c r="D767" s="5" t="str">
        <f>IF(E767="","","EMP-" &amp; TEXT(IF(COUNTIF(E$6:E767,E767)&gt;=1,MATCH(E767,$E$6:$E$1000,0),COUNTA(UNIQUE(E$6:E767))),"000"))</f>
        <v/>
      </c>
    </row>
    <row r="768" spans="4:4">
      <c r="D768" s="5" t="str">
        <f>IF(E768="","","EMP-" &amp; TEXT(IF(COUNTIF(E$6:E768,E768)&gt;=1,MATCH(E768,$E$6:$E$1000,0),COUNTA(UNIQUE(E$6:E768))),"000"))</f>
        <v/>
      </c>
    </row>
    <row r="769" spans="4:4">
      <c r="D769" s="5" t="str">
        <f>IF(E769="","","EMP-" &amp; TEXT(IF(COUNTIF(E$6:E769,E769)&gt;=1,MATCH(E769,$E$6:$E$1000,0),COUNTA(UNIQUE(E$6:E769))),"000"))</f>
        <v/>
      </c>
    </row>
    <row r="770" spans="4:4">
      <c r="D770" s="5" t="str">
        <f>IF(E770="","","EMP-" &amp; TEXT(IF(COUNTIF(E$6:E770,E770)&gt;=1,MATCH(E770,$E$6:$E$1000,0),COUNTA(UNIQUE(E$6:E770))),"000"))</f>
        <v/>
      </c>
    </row>
    <row r="771" spans="4:4">
      <c r="D771" s="5" t="str">
        <f>IF(E771="","","EMP-" &amp; TEXT(IF(COUNTIF(E$6:E771,E771)&gt;=1,MATCH(E771,$E$6:$E$1000,0),COUNTA(UNIQUE(E$6:E771))),"000"))</f>
        <v/>
      </c>
    </row>
    <row r="772" spans="4:4">
      <c r="D772" s="5" t="str">
        <f>IF(E772="","","EMP-" &amp; TEXT(IF(COUNTIF(E$6:E772,E772)&gt;=1,MATCH(E772,$E$6:$E$1000,0),COUNTA(UNIQUE(E$6:E772))),"000"))</f>
        <v/>
      </c>
    </row>
    <row r="773" spans="4:4">
      <c r="D773" s="5" t="str">
        <f>IF(E773="","","EMP-" &amp; TEXT(IF(COUNTIF(E$6:E773,E773)&gt;=1,MATCH(E773,$E$6:$E$1000,0),COUNTA(UNIQUE(E$6:E773))),"000"))</f>
        <v/>
      </c>
    </row>
    <row r="774" spans="4:4">
      <c r="D774" s="5" t="str">
        <f>IF(E774="","","EMP-" &amp; TEXT(IF(COUNTIF(E$6:E774,E774)&gt;=1,MATCH(E774,$E$6:$E$1000,0),COUNTA(UNIQUE(E$6:E774))),"000"))</f>
        <v/>
      </c>
    </row>
    <row r="775" spans="4:4">
      <c r="D775" s="5" t="str">
        <f>IF(E775="","","EMP-" &amp; TEXT(IF(COUNTIF(E$6:E775,E775)&gt;=1,MATCH(E775,$E$6:$E$1000,0),COUNTA(UNIQUE(E$6:E775))),"000"))</f>
        <v/>
      </c>
    </row>
    <row r="776" spans="4:4">
      <c r="D776" s="5" t="str">
        <f>IF(E776="","","EMP-" &amp; TEXT(IF(COUNTIF(E$6:E776,E776)&gt;=1,MATCH(E776,$E$6:$E$1000,0),COUNTA(UNIQUE(E$6:E776))),"000"))</f>
        <v/>
      </c>
    </row>
    <row r="777" spans="4:4">
      <c r="D777" s="5" t="str">
        <f>IF(E777="","","EMP-" &amp; TEXT(IF(COUNTIF(E$6:E777,E777)&gt;=1,MATCH(E777,$E$6:$E$1000,0),COUNTA(UNIQUE(E$6:E777))),"000"))</f>
        <v/>
      </c>
    </row>
    <row r="778" spans="4:4">
      <c r="D778" s="5" t="str">
        <f>IF(E778="","","EMP-" &amp; TEXT(IF(COUNTIF(E$6:E778,E778)&gt;=1,MATCH(E778,$E$6:$E$1000,0),COUNTA(UNIQUE(E$6:E778))),"000"))</f>
        <v/>
      </c>
    </row>
    <row r="779" spans="4:4">
      <c r="D779" s="5" t="str">
        <f>IF(E779="","","EMP-" &amp; TEXT(IF(COUNTIF(E$6:E779,E779)&gt;=1,MATCH(E779,$E$6:$E$1000,0),COUNTA(UNIQUE(E$6:E779))),"000"))</f>
        <v/>
      </c>
    </row>
    <row r="780" spans="4:4">
      <c r="D780" s="5" t="str">
        <f>IF(E780="","","EMP-" &amp; TEXT(IF(COUNTIF(E$6:E780,E780)&gt;=1,MATCH(E780,$E$6:$E$1000,0),COUNTA(UNIQUE(E$6:E780))),"000"))</f>
        <v/>
      </c>
    </row>
    <row r="781" spans="4:4">
      <c r="D781" s="5" t="str">
        <f>IF(E781="","","EMP-" &amp; TEXT(IF(COUNTIF(E$6:E781,E781)&gt;=1,MATCH(E781,$E$6:$E$1000,0),COUNTA(UNIQUE(E$6:E781))),"000"))</f>
        <v/>
      </c>
    </row>
    <row r="782" spans="4:4">
      <c r="D782" s="5" t="str">
        <f>IF(E782="","","EMP-" &amp; TEXT(IF(COUNTIF(E$6:E782,E782)&gt;=1,MATCH(E782,$E$6:$E$1000,0),COUNTA(UNIQUE(E$6:E782))),"000"))</f>
        <v/>
      </c>
    </row>
    <row r="783" spans="4:4">
      <c r="D783" s="5" t="str">
        <f>IF(E783="","","EMP-" &amp; TEXT(IF(COUNTIF(E$6:E783,E783)&gt;=1,MATCH(E783,$E$6:$E$1000,0),COUNTA(UNIQUE(E$6:E783))),"000"))</f>
        <v/>
      </c>
    </row>
    <row r="784" spans="4:4">
      <c r="D784" s="5" t="str">
        <f>IF(E784="","","EMP-" &amp; TEXT(IF(COUNTIF(E$6:E784,E784)&gt;=1,MATCH(E784,$E$6:$E$1000,0),COUNTA(UNIQUE(E$6:E784))),"000"))</f>
        <v/>
      </c>
    </row>
    <row r="785" spans="4:4">
      <c r="D785" s="5" t="str">
        <f>IF(E785="","","EMP-" &amp; TEXT(IF(COUNTIF(E$6:E785,E785)&gt;=1,MATCH(E785,$E$6:$E$1000,0),COUNTA(UNIQUE(E$6:E785))),"000"))</f>
        <v/>
      </c>
    </row>
    <row r="786" spans="4:4">
      <c r="D786" s="5" t="str">
        <f>IF(E786="","","EMP-" &amp; TEXT(IF(COUNTIF(E$6:E786,E786)&gt;=1,MATCH(E786,$E$6:$E$1000,0),COUNTA(UNIQUE(E$6:E786))),"000"))</f>
        <v/>
      </c>
    </row>
    <row r="787" spans="4:4">
      <c r="D787" s="5" t="str">
        <f>IF(E787="","","EMP-" &amp; TEXT(IF(COUNTIF(E$6:E787,E787)&gt;=1,MATCH(E787,$E$6:$E$1000,0),COUNTA(UNIQUE(E$6:E787))),"000"))</f>
        <v/>
      </c>
    </row>
    <row r="788" spans="4:4">
      <c r="D788" s="5" t="str">
        <f>IF(E788="","","EMP-" &amp; TEXT(IF(COUNTIF(E$6:E788,E788)&gt;=1,MATCH(E788,$E$6:$E$1000,0),COUNTA(UNIQUE(E$6:E788))),"000"))</f>
        <v/>
      </c>
    </row>
    <row r="789" spans="4:4">
      <c r="D789" s="5" t="str">
        <f>IF(E789="","","EMP-" &amp; TEXT(IF(COUNTIF(E$6:E789,E789)&gt;=1,MATCH(E789,$E$6:$E$1000,0),COUNTA(UNIQUE(E$6:E789))),"000"))</f>
        <v/>
      </c>
    </row>
    <row r="790" spans="4:4">
      <c r="D790" s="5" t="str">
        <f>IF(E790="","","EMP-" &amp; TEXT(IF(COUNTIF(E$6:E790,E790)&gt;=1,MATCH(E790,$E$6:$E$1000,0),COUNTA(UNIQUE(E$6:E790))),"000"))</f>
        <v/>
      </c>
    </row>
    <row r="791" spans="4:4">
      <c r="D791" s="5" t="str">
        <f>IF(E791="","","EMP-" &amp; TEXT(IF(COUNTIF(E$6:E791,E791)&gt;=1,MATCH(E791,$E$6:$E$1000,0),COUNTA(UNIQUE(E$6:E791))),"000"))</f>
        <v/>
      </c>
    </row>
    <row r="792" spans="4:4">
      <c r="D792" s="5" t="str">
        <f>IF(E792="","","EMP-" &amp; TEXT(IF(COUNTIF(E$6:E792,E792)&gt;=1,MATCH(E792,$E$6:$E$1000,0),COUNTA(UNIQUE(E$6:E792))),"000"))</f>
        <v/>
      </c>
    </row>
    <row r="793" spans="4:4">
      <c r="D793" s="5" t="str">
        <f>IF(E793="","","EMP-" &amp; TEXT(IF(COUNTIF(E$6:E793,E793)&gt;=1,MATCH(E793,$E$6:$E$1000,0),COUNTA(UNIQUE(E$6:E793))),"000"))</f>
        <v/>
      </c>
    </row>
    <row r="794" spans="4:4">
      <c r="D794" s="5" t="str">
        <f>IF(E794="","","EMP-" &amp; TEXT(IF(COUNTIF(E$6:E794,E794)&gt;=1,MATCH(E794,$E$6:$E$1000,0),COUNTA(UNIQUE(E$6:E794))),"000"))</f>
        <v/>
      </c>
    </row>
    <row r="795" spans="4:4">
      <c r="D795" s="5" t="str">
        <f>IF(E795="","","EMP-" &amp; TEXT(IF(COUNTIF(E$6:E795,E795)&gt;=1,MATCH(E795,$E$6:$E$1000,0),COUNTA(UNIQUE(E$6:E795))),"000"))</f>
        <v/>
      </c>
    </row>
    <row r="796" spans="4:4">
      <c r="D796" s="5" t="str">
        <f>IF(E796="","","EMP-" &amp; TEXT(IF(COUNTIF(E$6:E796,E796)&gt;=1,MATCH(E796,$E$6:$E$1000,0),COUNTA(UNIQUE(E$6:E796))),"000"))</f>
        <v/>
      </c>
    </row>
    <row r="797" spans="4:4">
      <c r="D797" s="5" t="str">
        <f>IF(E797="","","EMP-" &amp; TEXT(IF(COUNTIF(E$6:E797,E797)&gt;=1,MATCH(E797,$E$6:$E$1000,0),COUNTA(UNIQUE(E$6:E797))),"000"))</f>
        <v/>
      </c>
    </row>
    <row r="798" spans="4:4">
      <c r="D798" s="5" t="str">
        <f>IF(E798="","","EMP-" &amp; TEXT(IF(COUNTIF(E$6:E798,E798)&gt;=1,MATCH(E798,$E$6:$E$1000,0),COUNTA(UNIQUE(E$6:E798))),"000"))</f>
        <v/>
      </c>
    </row>
    <row r="799" spans="4:4">
      <c r="D799" s="5" t="str">
        <f>IF(E799="","","EMP-" &amp; TEXT(IF(COUNTIF(E$6:E799,E799)&gt;=1,MATCH(E799,$E$6:$E$1000,0),COUNTA(UNIQUE(E$6:E799))),"000"))</f>
        <v/>
      </c>
    </row>
    <row r="800" spans="4:4">
      <c r="D800" s="5" t="str">
        <f>IF(E800="","","EMP-" &amp; TEXT(IF(COUNTIF(E$6:E800,E800)&gt;=1,MATCH(E800,$E$6:$E$1000,0),COUNTA(UNIQUE(E$6:E800))),"000"))</f>
        <v/>
      </c>
    </row>
    <row r="801" spans="4:4">
      <c r="D801" s="5" t="str">
        <f>IF(E801="","","EMP-" &amp; TEXT(IF(COUNTIF(E$6:E801,E801)&gt;=1,MATCH(E801,$E$6:$E$1000,0),COUNTA(UNIQUE(E$6:E801))),"000"))</f>
        <v/>
      </c>
    </row>
    <row r="802" spans="4:4">
      <c r="D802" s="5" t="str">
        <f>IF(E802="","","EMP-" &amp; TEXT(IF(COUNTIF(E$6:E802,E802)&gt;=1,MATCH(E802,$E$6:$E$1000,0),COUNTA(UNIQUE(E$6:E802))),"000"))</f>
        <v/>
      </c>
    </row>
    <row r="803" spans="4:4">
      <c r="D803" s="5" t="str">
        <f>IF(E803="","","EMP-" &amp; TEXT(IF(COUNTIF(E$6:E803,E803)&gt;=1,MATCH(E803,$E$6:$E$1000,0),COUNTA(UNIQUE(E$6:E803))),"000"))</f>
        <v/>
      </c>
    </row>
    <row r="804" spans="4:4">
      <c r="D804" s="5" t="str">
        <f>IF(E804="","","EMP-" &amp; TEXT(IF(COUNTIF(E$6:E804,E804)&gt;=1,MATCH(E804,$E$6:$E$1000,0),COUNTA(UNIQUE(E$6:E804))),"000"))</f>
        <v/>
      </c>
    </row>
    <row r="805" spans="4:4">
      <c r="D805" s="5" t="str">
        <f>IF(E805="","","EMP-" &amp; TEXT(IF(COUNTIF(E$6:E805,E805)&gt;=1,MATCH(E805,$E$6:$E$1000,0),COUNTA(UNIQUE(E$6:E805))),"000"))</f>
        <v/>
      </c>
    </row>
    <row r="806" spans="4:4">
      <c r="D806" s="5" t="str">
        <f>IF(E806="","","EMP-" &amp; TEXT(IF(COUNTIF(E$6:E806,E806)&gt;=1,MATCH(E806,$E$6:$E$1000,0),COUNTA(UNIQUE(E$6:E806))),"000"))</f>
        <v/>
      </c>
    </row>
    <row r="807" spans="4:4">
      <c r="D807" s="5" t="str">
        <f>IF(E807="","","EMP-" &amp; TEXT(IF(COUNTIF(E$6:E807,E807)&gt;=1,MATCH(E807,$E$6:$E$1000,0),COUNTA(UNIQUE(E$6:E807))),"000"))</f>
        <v/>
      </c>
    </row>
    <row r="808" spans="4:4">
      <c r="D808" s="5" t="str">
        <f>IF(E808="","","EMP-" &amp; TEXT(IF(COUNTIF(E$6:E808,E808)&gt;=1,MATCH(E808,$E$6:$E$1000,0),COUNTA(UNIQUE(E$6:E808))),"000"))</f>
        <v/>
      </c>
    </row>
    <row r="809" spans="4:4">
      <c r="D809" s="5" t="str">
        <f>IF(E809="","","EMP-" &amp; TEXT(IF(COUNTIF(E$6:E809,E809)&gt;=1,MATCH(E809,$E$6:$E$1000,0),COUNTA(UNIQUE(E$6:E809))),"000"))</f>
        <v/>
      </c>
    </row>
    <row r="810" spans="4:4">
      <c r="D810" s="5" t="str">
        <f>IF(E810="","","EMP-" &amp; TEXT(IF(COUNTIF(E$6:E810,E810)&gt;=1,MATCH(E810,$E$6:$E$1000,0),COUNTA(UNIQUE(E$6:E810))),"000"))</f>
        <v/>
      </c>
    </row>
    <row r="811" spans="4:4">
      <c r="D811" s="5" t="str">
        <f>IF(E811="","","EMP-" &amp; TEXT(IF(COUNTIF(E$6:E811,E811)&gt;=1,MATCH(E811,$E$6:$E$1000,0),COUNTA(UNIQUE(E$6:E811))),"000"))</f>
        <v/>
      </c>
    </row>
    <row r="812" spans="4:4">
      <c r="D812" s="5" t="str">
        <f>IF(E812="","","EMP-" &amp; TEXT(IF(COUNTIF(E$6:E812,E812)&gt;=1,MATCH(E812,$E$6:$E$1000,0),COUNTA(UNIQUE(E$6:E812))),"000"))</f>
        <v/>
      </c>
    </row>
    <row r="813" spans="4:4">
      <c r="D813" s="5" t="str">
        <f>IF(E813="","","EMP-" &amp; TEXT(IF(COUNTIF(E$6:E813,E813)&gt;=1,MATCH(E813,$E$6:$E$1000,0),COUNTA(UNIQUE(E$6:E813))),"000"))</f>
        <v/>
      </c>
    </row>
    <row r="814" spans="4:4">
      <c r="D814" s="5" t="str">
        <f>IF(E814="","","EMP-" &amp; TEXT(IF(COUNTIF(E$6:E814,E814)&gt;=1,MATCH(E814,$E$6:$E$1000,0),COUNTA(UNIQUE(E$6:E814))),"000"))</f>
        <v/>
      </c>
    </row>
    <row r="815" spans="4:4">
      <c r="D815" s="5" t="str">
        <f>IF(E815="","","EMP-" &amp; TEXT(IF(COUNTIF(E$6:E815,E815)&gt;=1,MATCH(E815,$E$6:$E$1000,0),COUNTA(UNIQUE(E$6:E815))),"000"))</f>
        <v/>
      </c>
    </row>
    <row r="816" spans="4:4">
      <c r="D816" s="5" t="str">
        <f>IF(E816="","","EMP-" &amp; TEXT(IF(COUNTIF(E$6:E816,E816)&gt;=1,MATCH(E816,$E$6:$E$1000,0),COUNTA(UNIQUE(E$6:E816))),"000"))</f>
        <v/>
      </c>
    </row>
    <row r="817" spans="4:4">
      <c r="D817" s="5" t="str">
        <f>IF(E817="","","EMP-" &amp; TEXT(IF(COUNTIF(E$6:E817,E817)&gt;=1,MATCH(E817,$E$6:$E$1000,0),COUNTA(UNIQUE(E$6:E817))),"000"))</f>
        <v/>
      </c>
    </row>
    <row r="818" spans="4:4">
      <c r="D818" s="5" t="str">
        <f>IF(E818="","","EMP-" &amp; TEXT(IF(COUNTIF(E$6:E818,E818)&gt;=1,MATCH(E818,$E$6:$E$1000,0),COUNTA(UNIQUE(E$6:E818))),"000"))</f>
        <v/>
      </c>
    </row>
    <row r="819" spans="4:4">
      <c r="D819" s="5" t="str">
        <f>IF(E819="","","EMP-" &amp; TEXT(IF(COUNTIF(E$6:E819,E819)&gt;=1,MATCH(E819,$E$6:$E$1000,0),COUNTA(UNIQUE(E$6:E819))),"000"))</f>
        <v/>
      </c>
    </row>
    <row r="820" spans="4:4">
      <c r="D820" s="5" t="str">
        <f>IF(E820="","","EMP-" &amp; TEXT(IF(COUNTIF(E$6:E820,E820)&gt;=1,MATCH(E820,$E$6:$E$1000,0),COUNTA(UNIQUE(E$6:E820))),"000"))</f>
        <v/>
      </c>
    </row>
    <row r="821" spans="4:4">
      <c r="D821" s="5" t="str">
        <f>IF(E821="","","EMP-" &amp; TEXT(IF(COUNTIF(E$6:E821,E821)&gt;=1,MATCH(E821,$E$6:$E$1000,0),COUNTA(UNIQUE(E$6:E821))),"000"))</f>
        <v/>
      </c>
    </row>
    <row r="822" spans="4:4">
      <c r="D822" s="5" t="str">
        <f>IF(E822="","","EMP-" &amp; TEXT(IF(COUNTIF(E$6:E822,E822)&gt;=1,MATCH(E822,$E$6:$E$1000,0),COUNTA(UNIQUE(E$6:E822))),"000"))</f>
        <v/>
      </c>
    </row>
    <row r="823" spans="4:4">
      <c r="D823" s="5" t="str">
        <f>IF(E823="","","EMP-" &amp; TEXT(IF(COUNTIF(E$6:E823,E823)&gt;=1,MATCH(E823,$E$6:$E$1000,0),COUNTA(UNIQUE(E$6:E823))),"000"))</f>
        <v/>
      </c>
    </row>
    <row r="824" spans="4:4">
      <c r="D824" s="5" t="str">
        <f>IF(E824="","","EMP-" &amp; TEXT(IF(COUNTIF(E$6:E824,E824)&gt;=1,MATCH(E824,$E$6:$E$1000,0),COUNTA(UNIQUE(E$6:E824))),"000"))</f>
        <v/>
      </c>
    </row>
    <row r="825" spans="4:4">
      <c r="D825" s="5" t="str">
        <f>IF(E825="","","EMP-" &amp; TEXT(IF(COUNTIF(E$6:E825,E825)&gt;=1,MATCH(E825,$E$6:$E$1000,0),COUNTA(UNIQUE(E$6:E825))),"000"))</f>
        <v/>
      </c>
    </row>
    <row r="826" spans="4:4">
      <c r="D826" s="5" t="str">
        <f>IF(E826="","","EMP-" &amp; TEXT(IF(COUNTIF(E$6:E826,E826)&gt;=1,MATCH(E826,$E$6:$E$1000,0),COUNTA(UNIQUE(E$6:E826))),"000"))</f>
        <v/>
      </c>
    </row>
    <row r="827" spans="4:4">
      <c r="D827" s="5" t="str">
        <f>IF(E827="","","EMP-" &amp; TEXT(IF(COUNTIF(E$6:E827,E827)&gt;=1,MATCH(E827,$E$6:$E$1000,0),COUNTA(UNIQUE(E$6:E827))),"000"))</f>
        <v/>
      </c>
    </row>
    <row r="828" spans="4:4">
      <c r="D828" s="5" t="str">
        <f>IF(E828="","","EMP-" &amp; TEXT(IF(COUNTIF(E$6:E828,E828)&gt;=1,MATCH(E828,$E$6:$E$1000,0),COUNTA(UNIQUE(E$6:E828))),"000"))</f>
        <v/>
      </c>
    </row>
    <row r="829" spans="4:4">
      <c r="D829" s="5" t="str">
        <f>IF(E829="","","EMP-" &amp; TEXT(IF(COUNTIF(E$6:E829,E829)&gt;=1,MATCH(E829,$E$6:$E$1000,0),COUNTA(UNIQUE(E$6:E829))),"000"))</f>
        <v/>
      </c>
    </row>
    <row r="830" spans="4:4">
      <c r="D830" s="5" t="str">
        <f>IF(E830="","","EMP-" &amp; TEXT(IF(COUNTIF(E$6:E830,E830)&gt;=1,MATCH(E830,$E$6:$E$1000,0),COUNTA(UNIQUE(E$6:E830))),"000"))</f>
        <v/>
      </c>
    </row>
    <row r="831" spans="4:4">
      <c r="D831" s="5" t="str">
        <f>IF(E831="","","EMP-" &amp; TEXT(IF(COUNTIF(E$6:E831,E831)&gt;=1,MATCH(E831,$E$6:$E$1000,0),COUNTA(UNIQUE(E$6:E831))),"000"))</f>
        <v/>
      </c>
    </row>
    <row r="832" spans="4:4">
      <c r="D832" s="5" t="str">
        <f>IF(E832="","","EMP-" &amp; TEXT(IF(COUNTIF(E$6:E832,E832)&gt;=1,MATCH(E832,$E$6:$E$1000,0),COUNTA(UNIQUE(E$6:E832))),"000"))</f>
        <v/>
      </c>
    </row>
    <row r="833" spans="4:4">
      <c r="D833" s="5" t="str">
        <f>IF(E833="","","EMP-" &amp; TEXT(IF(COUNTIF(E$6:E833,E833)&gt;=1,MATCH(E833,$E$6:$E$1000,0),COUNTA(UNIQUE(E$6:E833))),"000"))</f>
        <v/>
      </c>
    </row>
    <row r="834" spans="4:4">
      <c r="D834" s="5" t="str">
        <f>IF(E834="","","EMP-" &amp; TEXT(IF(COUNTIF(E$6:E834,E834)&gt;=1,MATCH(E834,$E$6:$E$1000,0),COUNTA(UNIQUE(E$6:E834))),"000"))</f>
        <v/>
      </c>
    </row>
    <row r="835" spans="4:4">
      <c r="D835" s="5" t="str">
        <f>IF(E835="","","EMP-" &amp; TEXT(IF(COUNTIF(E$6:E835,E835)&gt;=1,MATCH(E835,$E$6:$E$1000,0),COUNTA(UNIQUE(E$6:E835))),"000"))</f>
        <v/>
      </c>
    </row>
    <row r="836" spans="4:4">
      <c r="D836" s="5" t="str">
        <f>IF(E836="","","EMP-" &amp; TEXT(IF(COUNTIF(E$6:E836,E836)&gt;=1,MATCH(E836,$E$6:$E$1000,0),COUNTA(UNIQUE(E$6:E836))),"000"))</f>
        <v/>
      </c>
    </row>
    <row r="837" spans="4:4">
      <c r="D837" s="5" t="str">
        <f>IF(E837="","","EMP-" &amp; TEXT(IF(COUNTIF(E$6:E837,E837)&gt;=1,MATCH(E837,$E$6:$E$1000,0),COUNTA(UNIQUE(E$6:E837))),"000"))</f>
        <v/>
      </c>
    </row>
    <row r="838" spans="4:4">
      <c r="D838" s="5" t="str">
        <f>IF(E838="","","EMP-" &amp; TEXT(IF(COUNTIF(E$6:E838,E838)&gt;=1,MATCH(E838,$E$6:$E$1000,0),COUNTA(UNIQUE(E$6:E838))),"000"))</f>
        <v/>
      </c>
    </row>
    <row r="839" spans="4:4">
      <c r="D839" s="5" t="str">
        <f>IF(E839="","","EMP-" &amp; TEXT(IF(COUNTIF(E$6:E839,E839)&gt;=1,MATCH(E839,$E$6:$E$1000,0),COUNTA(UNIQUE(E$6:E839))),"000"))</f>
        <v/>
      </c>
    </row>
    <row r="840" spans="4:4">
      <c r="D840" s="5" t="str">
        <f>IF(E840="","","EMP-" &amp; TEXT(IF(COUNTIF(E$6:E840,E840)&gt;=1,MATCH(E840,$E$6:$E$1000,0),COUNTA(UNIQUE(E$6:E840))),"000"))</f>
        <v/>
      </c>
    </row>
    <row r="841" spans="4:4">
      <c r="D841" s="5" t="str">
        <f>IF(E841="","","EMP-" &amp; TEXT(IF(COUNTIF(E$6:E841,E841)&gt;=1,MATCH(E841,$E$6:$E$1000,0),COUNTA(UNIQUE(E$6:E841))),"000"))</f>
        <v/>
      </c>
    </row>
    <row r="842" spans="4:4">
      <c r="D842" s="5" t="str">
        <f>IF(E842="","","EMP-" &amp; TEXT(IF(COUNTIF(E$6:E842,E842)&gt;=1,MATCH(E842,$E$6:$E$1000,0),COUNTA(UNIQUE(E$6:E842))),"000"))</f>
        <v/>
      </c>
    </row>
    <row r="843" spans="4:4">
      <c r="D843" s="5" t="str">
        <f>IF(E843="","","EMP-" &amp; TEXT(IF(COUNTIF(E$6:E843,E843)&gt;=1,MATCH(E843,$E$6:$E$1000,0),COUNTA(UNIQUE(E$6:E843))),"000"))</f>
        <v/>
      </c>
    </row>
    <row r="844" spans="4:4">
      <c r="D844" s="5" t="str">
        <f>IF(E844="","","EMP-" &amp; TEXT(IF(COUNTIF(E$6:E844,E844)&gt;=1,MATCH(E844,$E$6:$E$1000,0),COUNTA(UNIQUE(E$6:E844))),"000"))</f>
        <v/>
      </c>
    </row>
    <row r="845" spans="4:4">
      <c r="D845" s="5" t="str">
        <f>IF(E845="","","EMP-" &amp; TEXT(IF(COUNTIF(E$6:E845,E845)&gt;=1,MATCH(E845,$E$6:$E$1000,0),COUNTA(UNIQUE(E$6:E845))),"000"))</f>
        <v/>
      </c>
    </row>
    <row r="846" spans="4:4">
      <c r="D846" s="5" t="str">
        <f>IF(E846="","","EMP-" &amp; TEXT(IF(COUNTIF(E$6:E846,E846)&gt;=1,MATCH(E846,$E$6:$E$1000,0),COUNTA(UNIQUE(E$6:E846))),"000"))</f>
        <v/>
      </c>
    </row>
    <row r="847" spans="4:4">
      <c r="D847" s="5" t="str">
        <f>IF(E847="","","EMP-" &amp; TEXT(IF(COUNTIF(E$6:E847,E847)&gt;=1,MATCH(E847,$E$6:$E$1000,0),COUNTA(UNIQUE(E$6:E847))),"000"))</f>
        <v/>
      </c>
    </row>
    <row r="848" spans="4:4">
      <c r="D848" s="5" t="str">
        <f>IF(E848="","","EMP-" &amp; TEXT(IF(COUNTIF(E$6:E848,E848)&gt;=1,MATCH(E848,$E$6:$E$1000,0),COUNTA(UNIQUE(E$6:E848))),"000"))</f>
        <v/>
      </c>
    </row>
    <row r="849" spans="4:4">
      <c r="D849" s="5" t="str">
        <f>IF(E849="","","EMP-" &amp; TEXT(IF(COUNTIF(E$6:E849,E849)&gt;=1,MATCH(E849,$E$6:$E$1000,0),COUNTA(UNIQUE(E$6:E849))),"000"))</f>
        <v/>
      </c>
    </row>
    <row r="850" spans="4:4">
      <c r="D850" s="5" t="str">
        <f>IF(E850="","","EMP-" &amp; TEXT(IF(COUNTIF(E$6:E850,E850)&gt;=1,MATCH(E850,$E$6:$E$1000,0),COUNTA(UNIQUE(E$6:E850))),"000"))</f>
        <v/>
      </c>
    </row>
    <row r="851" spans="4:4">
      <c r="D851" s="5" t="str">
        <f>IF(E851="","","EMP-" &amp; TEXT(IF(COUNTIF(E$6:E851,E851)&gt;=1,MATCH(E851,$E$6:$E$1000,0),COUNTA(UNIQUE(E$6:E851))),"000"))</f>
        <v/>
      </c>
    </row>
    <row r="852" spans="4:4">
      <c r="D852" s="5" t="str">
        <f>IF(E852="","","EMP-" &amp; TEXT(IF(COUNTIF(E$6:E852,E852)&gt;=1,MATCH(E852,$E$6:$E$1000,0),COUNTA(UNIQUE(E$6:E852))),"000"))</f>
        <v/>
      </c>
    </row>
    <row r="853" spans="4:4">
      <c r="D853" s="5" t="str">
        <f>IF(E853="","","EMP-" &amp; TEXT(IF(COUNTIF(E$6:E853,E853)&gt;=1,MATCH(E853,$E$6:$E$1000,0),COUNTA(UNIQUE(E$6:E853))),"000"))</f>
        <v/>
      </c>
    </row>
    <row r="854" spans="4:4">
      <c r="D854" s="5" t="str">
        <f>IF(E854="","","EMP-" &amp; TEXT(IF(COUNTIF(E$6:E854,E854)&gt;=1,MATCH(E854,$E$6:$E$1000,0),COUNTA(UNIQUE(E$6:E854))),"000"))</f>
        <v/>
      </c>
    </row>
    <row r="855" spans="4:4">
      <c r="D855" s="5" t="str">
        <f>IF(E855="","","EMP-" &amp; TEXT(IF(COUNTIF(E$6:E855,E855)&gt;=1,MATCH(E855,$E$6:$E$1000,0),COUNTA(UNIQUE(E$6:E855))),"000"))</f>
        <v/>
      </c>
    </row>
    <row r="856" spans="4:4">
      <c r="D856" s="5" t="str">
        <f>IF(E856="","","EMP-" &amp; TEXT(IF(COUNTIF(E$6:E856,E856)&gt;=1,MATCH(E856,$E$6:$E$1000,0),COUNTA(UNIQUE(E$6:E856))),"000"))</f>
        <v/>
      </c>
    </row>
    <row r="857" spans="4:4">
      <c r="D857" s="5" t="str">
        <f>IF(E857="","","EMP-" &amp; TEXT(IF(COUNTIF(E$6:E857,E857)&gt;=1,MATCH(E857,$E$6:$E$1000,0),COUNTA(UNIQUE(E$6:E857))),"000"))</f>
        <v/>
      </c>
    </row>
    <row r="858" spans="4:4">
      <c r="D858" s="5" t="str">
        <f>IF(E858="","","EMP-" &amp; TEXT(IF(COUNTIF(E$6:E858,E858)&gt;=1,MATCH(E858,$E$6:$E$1000,0),COUNTA(UNIQUE(E$6:E858))),"000"))</f>
        <v/>
      </c>
    </row>
    <row r="859" spans="4:4">
      <c r="D859" s="5" t="str">
        <f>IF(E859="","","EMP-" &amp; TEXT(IF(COUNTIF(E$6:E859,E859)&gt;=1,MATCH(E859,$E$6:$E$1000,0),COUNTA(UNIQUE(E$6:E859))),"000"))</f>
        <v/>
      </c>
    </row>
    <row r="860" spans="4:4">
      <c r="D860" s="5" t="str">
        <f>IF(E860="","","EMP-" &amp; TEXT(IF(COUNTIF(E$6:E860,E860)&gt;=1,MATCH(E860,$E$6:$E$1000,0),COUNTA(UNIQUE(E$6:E860))),"000"))</f>
        <v/>
      </c>
    </row>
    <row r="861" spans="4:4">
      <c r="D861" s="5" t="str">
        <f>IF(E861="","","EMP-" &amp; TEXT(IF(COUNTIF(E$6:E861,E861)&gt;=1,MATCH(E861,$E$6:$E$1000,0),COUNTA(UNIQUE(E$6:E861))),"000"))</f>
        <v/>
      </c>
    </row>
    <row r="862" spans="4:4">
      <c r="D862" s="5" t="str">
        <f>IF(E862="","","EMP-" &amp; TEXT(IF(COUNTIF(E$6:E862,E862)&gt;=1,MATCH(E862,$E$6:$E$1000,0),COUNTA(UNIQUE(E$6:E862))),"000"))</f>
        <v/>
      </c>
    </row>
    <row r="863" spans="4:4">
      <c r="D863" s="5" t="str">
        <f>IF(E863="","","EMP-" &amp; TEXT(IF(COUNTIF(E$6:E863,E863)&gt;=1,MATCH(E863,$E$6:$E$1000,0),COUNTA(UNIQUE(E$6:E863))),"000"))</f>
        <v/>
      </c>
    </row>
    <row r="864" spans="4:4">
      <c r="D864" s="5" t="str">
        <f>IF(E864="","","EMP-" &amp; TEXT(IF(COUNTIF(E$6:E864,E864)&gt;=1,MATCH(E864,$E$6:$E$1000,0),COUNTA(UNIQUE(E$6:E864))),"000"))</f>
        <v/>
      </c>
    </row>
    <row r="865" spans="4:4">
      <c r="D865" s="5" t="str">
        <f>IF(E865="","","EMP-" &amp; TEXT(IF(COUNTIF(E$6:E865,E865)&gt;=1,MATCH(E865,$E$6:$E$1000,0),COUNTA(UNIQUE(E$6:E865))),"000"))</f>
        <v/>
      </c>
    </row>
    <row r="866" spans="4:4">
      <c r="D866" s="5" t="str">
        <f>IF(E866="","","EMP-" &amp; TEXT(IF(COUNTIF(E$6:E866,E866)&gt;=1,MATCH(E866,$E$6:$E$1000,0),COUNTA(UNIQUE(E$6:E866))),"000"))</f>
        <v/>
      </c>
    </row>
    <row r="867" spans="4:4">
      <c r="D867" s="5" t="str">
        <f>IF(E867="","","EMP-" &amp; TEXT(IF(COUNTIF(E$6:E867,E867)&gt;=1,MATCH(E867,$E$6:$E$1000,0),COUNTA(UNIQUE(E$6:E867))),"000"))</f>
        <v/>
      </c>
    </row>
    <row r="868" spans="4:4">
      <c r="D868" s="5" t="str">
        <f>IF(E868="","","EMP-" &amp; TEXT(IF(COUNTIF(E$6:E868,E868)&gt;=1,MATCH(E868,$E$6:$E$1000,0),COUNTA(UNIQUE(E$6:E868))),"000"))</f>
        <v/>
      </c>
    </row>
    <row r="869" spans="4:4">
      <c r="D869" s="5" t="str">
        <f>IF(E869="","","EMP-" &amp; TEXT(IF(COUNTIF(E$6:E869,E869)&gt;=1,MATCH(E869,$E$6:$E$1000,0),COUNTA(UNIQUE(E$6:E869))),"000"))</f>
        <v/>
      </c>
    </row>
    <row r="870" spans="4:4">
      <c r="D870" s="5" t="str">
        <f>IF(E870="","","EMP-" &amp; TEXT(IF(COUNTIF(E$6:E870,E870)&gt;=1,MATCH(E870,$E$6:$E$1000,0),COUNTA(UNIQUE(E$6:E870))),"000"))</f>
        <v/>
      </c>
    </row>
    <row r="871" spans="4:4">
      <c r="D871" s="5" t="str">
        <f>IF(E871="","","EMP-" &amp; TEXT(IF(COUNTIF(E$6:E871,E871)&gt;=1,MATCH(E871,$E$6:$E$1000,0),COUNTA(UNIQUE(E$6:E871))),"000"))</f>
        <v/>
      </c>
    </row>
    <row r="872" spans="4:4">
      <c r="D872" s="5" t="str">
        <f>IF(E872="","","EMP-" &amp; TEXT(IF(COUNTIF(E$6:E872,E872)&gt;=1,MATCH(E872,$E$6:$E$1000,0),COUNTA(UNIQUE(E$6:E872))),"000"))</f>
        <v/>
      </c>
    </row>
    <row r="873" spans="4:4">
      <c r="D873" s="5" t="str">
        <f>IF(E873="","","EMP-" &amp; TEXT(IF(COUNTIF(E$6:E873,E873)&gt;=1,MATCH(E873,$E$6:$E$1000,0),COUNTA(UNIQUE(E$6:E873))),"000"))</f>
        <v/>
      </c>
    </row>
    <row r="874" spans="4:4">
      <c r="D874" s="5" t="str">
        <f>IF(E874="","","EMP-" &amp; TEXT(IF(COUNTIF(E$6:E874,E874)&gt;=1,MATCH(E874,$E$6:$E$1000,0),COUNTA(UNIQUE(E$6:E874))),"000"))</f>
        <v/>
      </c>
    </row>
    <row r="875" spans="4:4">
      <c r="D875" s="5" t="str">
        <f>IF(E875="","","EMP-" &amp; TEXT(IF(COUNTIF(E$6:E875,E875)&gt;=1,MATCH(E875,$E$6:$E$1000,0),COUNTA(UNIQUE(E$6:E875))),"000"))</f>
        <v/>
      </c>
    </row>
    <row r="876" spans="4:4">
      <c r="D876" s="5" t="str">
        <f>IF(E876="","","EMP-" &amp; TEXT(IF(COUNTIF(E$6:E876,E876)&gt;=1,MATCH(E876,$E$6:$E$1000,0),COUNTA(UNIQUE(E$6:E876))),"000"))</f>
        <v/>
      </c>
    </row>
    <row r="877" spans="4:4">
      <c r="D877" s="5" t="str">
        <f>IF(E877="","","EMP-" &amp; TEXT(IF(COUNTIF(E$6:E877,E877)&gt;=1,MATCH(E877,$E$6:$E$1000,0),COUNTA(UNIQUE(E$6:E877))),"000"))</f>
        <v/>
      </c>
    </row>
    <row r="878" spans="4:4">
      <c r="D878" s="5" t="str">
        <f>IF(E878="","","EMP-" &amp; TEXT(IF(COUNTIF(E$6:E878,E878)&gt;=1,MATCH(E878,$E$6:$E$1000,0),COUNTA(UNIQUE(E$6:E878))),"000"))</f>
        <v/>
      </c>
    </row>
    <row r="879" spans="4:4">
      <c r="D879" s="5" t="str">
        <f>IF(E879="","","EMP-" &amp; TEXT(IF(COUNTIF(E$6:E879,E879)&gt;=1,MATCH(E879,$E$6:$E$1000,0),COUNTA(UNIQUE(E$6:E879))),"000"))</f>
        <v/>
      </c>
    </row>
    <row r="880" spans="4:4">
      <c r="D880" s="5" t="str">
        <f>IF(E880="","","EMP-" &amp; TEXT(IF(COUNTIF(E$6:E880,E880)&gt;=1,MATCH(E880,$E$6:$E$1000,0),COUNTA(UNIQUE(E$6:E880))),"000"))</f>
        <v/>
      </c>
    </row>
    <row r="881" spans="4:4">
      <c r="D881" s="5" t="str">
        <f>IF(E881="","","EMP-" &amp; TEXT(IF(COUNTIF(E$6:E881,E881)&gt;=1,MATCH(E881,$E$6:$E$1000,0),COUNTA(UNIQUE(E$6:E881))),"000"))</f>
        <v/>
      </c>
    </row>
    <row r="882" spans="4:4">
      <c r="D882" s="5" t="str">
        <f>IF(E882="","","EMP-" &amp; TEXT(IF(COUNTIF(E$6:E882,E882)&gt;=1,MATCH(E882,$E$6:$E$1000,0),COUNTA(UNIQUE(E$6:E882))),"000"))</f>
        <v/>
      </c>
    </row>
    <row r="883" spans="4:4">
      <c r="D883" s="5" t="str">
        <f>IF(E883="","","EMP-" &amp; TEXT(IF(COUNTIF(E$6:E883,E883)&gt;=1,MATCH(E883,$E$6:$E$1000,0),COUNTA(UNIQUE(E$6:E883))),"000"))</f>
        <v/>
      </c>
    </row>
    <row r="884" spans="4:4">
      <c r="D884" s="5" t="str">
        <f>IF(E884="","","EMP-" &amp; TEXT(IF(COUNTIF(E$6:E884,E884)&gt;=1,MATCH(E884,$E$6:$E$1000,0),COUNTA(UNIQUE(E$6:E884))),"000"))</f>
        <v/>
      </c>
    </row>
    <row r="885" spans="4:4">
      <c r="D885" s="5" t="str">
        <f>IF(E885="","","EMP-" &amp; TEXT(IF(COUNTIF(E$6:E885,E885)&gt;=1,MATCH(E885,$E$6:$E$1000,0),COUNTA(UNIQUE(E$6:E885))),"000"))</f>
        <v/>
      </c>
    </row>
    <row r="886" spans="4:4">
      <c r="D886" s="5" t="str">
        <f>IF(E886="","","EMP-" &amp; TEXT(IF(COUNTIF(E$6:E886,E886)&gt;=1,MATCH(E886,$E$6:$E$1000,0),COUNTA(UNIQUE(E$6:E886))),"000"))</f>
        <v/>
      </c>
    </row>
    <row r="887" spans="4:4">
      <c r="D887" s="5" t="str">
        <f>IF(E887="","","EMP-" &amp; TEXT(IF(COUNTIF(E$6:E887,E887)&gt;=1,MATCH(E887,$E$6:$E$1000,0),COUNTA(UNIQUE(E$6:E887))),"000"))</f>
        <v/>
      </c>
    </row>
    <row r="888" spans="4:4">
      <c r="D888" s="5" t="str">
        <f>IF(E888="","","EMP-" &amp; TEXT(IF(COUNTIF(E$6:E888,E888)&gt;=1,MATCH(E888,$E$6:$E$1000,0),COUNTA(UNIQUE(E$6:E888))),"000"))</f>
        <v/>
      </c>
    </row>
    <row r="889" spans="4:4">
      <c r="D889" s="5" t="str">
        <f>IF(E889="","","EMP-" &amp; TEXT(IF(COUNTIF(E$6:E889,E889)&gt;=1,MATCH(E889,$E$6:$E$1000,0),COUNTA(UNIQUE(E$6:E889))),"000"))</f>
        <v/>
      </c>
    </row>
    <row r="890" spans="4:4">
      <c r="D890" s="5" t="str">
        <f>IF(E890="","","EMP-" &amp; TEXT(IF(COUNTIF(E$6:E890,E890)&gt;=1,MATCH(E890,$E$6:$E$1000,0),COUNTA(UNIQUE(E$6:E890))),"000"))</f>
        <v/>
      </c>
    </row>
    <row r="891" spans="4:4">
      <c r="D891" s="5" t="str">
        <f>IF(E891="","","EMP-" &amp; TEXT(IF(COUNTIF(E$6:E891,E891)&gt;=1,MATCH(E891,$E$6:$E$1000,0),COUNTA(UNIQUE(E$6:E891))),"000"))</f>
        <v/>
      </c>
    </row>
    <row r="892" spans="4:4">
      <c r="D892" s="5" t="str">
        <f>IF(E892="","","EMP-" &amp; TEXT(IF(COUNTIF(E$6:E892,E892)&gt;=1,MATCH(E892,$E$6:$E$1000,0),COUNTA(UNIQUE(E$6:E892))),"000"))</f>
        <v/>
      </c>
    </row>
    <row r="893" spans="4:4">
      <c r="D893" s="5" t="str">
        <f>IF(E893="","","EMP-" &amp; TEXT(IF(COUNTIF(E$6:E893,E893)&gt;=1,MATCH(E893,$E$6:$E$1000,0),COUNTA(UNIQUE(E$6:E893))),"000"))</f>
        <v/>
      </c>
    </row>
    <row r="894" spans="4:4">
      <c r="D894" s="5" t="str">
        <f>IF(E894="","","EMP-" &amp; TEXT(IF(COUNTIF(E$6:E894,E894)&gt;=1,MATCH(E894,$E$6:$E$1000,0),COUNTA(UNIQUE(E$6:E894))),"000"))</f>
        <v/>
      </c>
    </row>
    <row r="895" spans="4:4">
      <c r="D895" s="5" t="str">
        <f>IF(E895="","","EMP-" &amp; TEXT(IF(COUNTIF(E$6:E895,E895)&gt;=1,MATCH(E895,$E$6:$E$1000,0),COUNTA(UNIQUE(E$6:E895))),"000"))</f>
        <v/>
      </c>
    </row>
    <row r="896" spans="4:4">
      <c r="D896" s="5" t="str">
        <f>IF(E896="","","EMP-" &amp; TEXT(IF(COUNTIF(E$6:E896,E896)&gt;=1,MATCH(E896,$E$6:$E$1000,0),COUNTA(UNIQUE(E$6:E896))),"000"))</f>
        <v/>
      </c>
    </row>
    <row r="897" spans="4:4">
      <c r="D897" s="5" t="str">
        <f>IF(E897="","","EMP-" &amp; TEXT(IF(COUNTIF(E$6:E897,E897)&gt;=1,MATCH(E897,$E$6:$E$1000,0),COUNTA(UNIQUE(E$6:E897))),"000"))</f>
        <v/>
      </c>
    </row>
    <row r="898" spans="4:4">
      <c r="D898" s="5" t="str">
        <f>IF(E898="","","EMP-" &amp; TEXT(IF(COUNTIF(E$6:E898,E898)&gt;=1,MATCH(E898,$E$6:$E$1000,0),COUNTA(UNIQUE(E$6:E898))),"000"))</f>
        <v/>
      </c>
    </row>
    <row r="899" spans="4:4">
      <c r="D899" s="5" t="str">
        <f>IF(E899="","","EMP-" &amp; TEXT(IF(COUNTIF(E$6:E899,E899)&gt;=1,MATCH(E899,$E$6:$E$1000,0),COUNTA(UNIQUE(E$6:E899))),"000"))</f>
        <v/>
      </c>
    </row>
    <row r="900" spans="4:4">
      <c r="D900" s="5" t="str">
        <f>IF(E900="","","EMP-" &amp; TEXT(IF(COUNTIF(E$6:E900,E900)&gt;=1,MATCH(E900,$E$6:$E$1000,0),COUNTA(UNIQUE(E$6:E900))),"000"))</f>
        <v/>
      </c>
    </row>
    <row r="901" spans="4:4">
      <c r="D901" s="5" t="str">
        <f>IF(E901="","","EMP-" &amp; TEXT(IF(COUNTIF(E$6:E901,E901)&gt;=1,MATCH(E901,$E$6:$E$1000,0),COUNTA(UNIQUE(E$6:E901))),"000"))</f>
        <v/>
      </c>
    </row>
    <row r="902" spans="4:4">
      <c r="D902" s="5" t="str">
        <f>IF(E902="","","EMP-" &amp; TEXT(IF(COUNTIF(E$6:E902,E902)&gt;=1,MATCH(E902,$E$6:$E$1000,0),COUNTA(UNIQUE(E$6:E902))),"000"))</f>
        <v/>
      </c>
    </row>
    <row r="903" spans="4:4">
      <c r="D903" s="5" t="str">
        <f>IF(E903="","","EMP-" &amp; TEXT(IF(COUNTIF(E$6:E903,E903)&gt;=1,MATCH(E903,$E$6:$E$1000,0),COUNTA(UNIQUE(E$6:E903))),"000"))</f>
        <v/>
      </c>
    </row>
    <row r="904" spans="4:4">
      <c r="D904" s="5" t="str">
        <f>IF(E904="","","EMP-" &amp; TEXT(IF(COUNTIF(E$6:E904,E904)&gt;=1,MATCH(E904,$E$6:$E$1000,0),COUNTA(UNIQUE(E$6:E904))),"000"))</f>
        <v/>
      </c>
    </row>
    <row r="905" spans="4:4">
      <c r="D905" s="5" t="str">
        <f>IF(E905="","","EMP-" &amp; TEXT(IF(COUNTIF(E$6:E905,E905)&gt;=1,MATCH(E905,$E$6:$E$1000,0),COUNTA(UNIQUE(E$6:E905))),"000"))</f>
        <v/>
      </c>
    </row>
    <row r="906" spans="4:4">
      <c r="D906" s="5" t="str">
        <f>IF(E906="","","EMP-" &amp; TEXT(IF(COUNTIF(E$6:E906,E906)&gt;=1,MATCH(E906,$E$6:$E$1000,0),COUNTA(UNIQUE(E$6:E906))),"000"))</f>
        <v/>
      </c>
    </row>
    <row r="907" spans="4:4">
      <c r="D907" s="5" t="str">
        <f>IF(E907="","","EMP-" &amp; TEXT(IF(COUNTIF(E$6:E907,E907)&gt;=1,MATCH(E907,$E$6:$E$1000,0),COUNTA(UNIQUE(E$6:E907))),"000"))</f>
        <v/>
      </c>
    </row>
    <row r="908" spans="4:4">
      <c r="D908" s="5" t="str">
        <f>IF(E908="","","EMP-" &amp; TEXT(IF(COUNTIF(E$6:E908,E908)&gt;=1,MATCH(E908,$E$6:$E$1000,0),COUNTA(UNIQUE(E$6:E908))),"000"))</f>
        <v/>
      </c>
    </row>
    <row r="909" spans="4:4">
      <c r="D909" s="5" t="str">
        <f>IF(E909="","","EMP-" &amp; TEXT(IF(COUNTIF(E$6:E909,E909)&gt;=1,MATCH(E909,$E$6:$E$1000,0),COUNTA(UNIQUE(E$6:E909))),"000"))</f>
        <v/>
      </c>
    </row>
    <row r="910" spans="4:4">
      <c r="D910" s="5" t="str">
        <f>IF(E910="","","EMP-" &amp; TEXT(IF(COUNTIF(E$6:E910,E910)&gt;=1,MATCH(E910,$E$6:$E$1000,0),COUNTA(UNIQUE(E$6:E910))),"000"))</f>
        <v/>
      </c>
    </row>
    <row r="911" spans="4:4">
      <c r="D911" s="5" t="str">
        <f>IF(E911="","","EMP-" &amp; TEXT(IF(COUNTIF(E$6:E911,E911)&gt;=1,MATCH(E911,$E$6:$E$1000,0),COUNTA(UNIQUE(E$6:E911))),"000"))</f>
        <v/>
      </c>
    </row>
    <row r="912" spans="4:4">
      <c r="D912" s="5" t="str">
        <f>IF(E912="","","EMP-" &amp; TEXT(IF(COUNTIF(E$6:E912,E912)&gt;=1,MATCH(E912,$E$6:$E$1000,0),COUNTA(UNIQUE(E$6:E912))),"000"))</f>
        <v/>
      </c>
    </row>
    <row r="913" spans="4:4">
      <c r="D913" s="5" t="str">
        <f>IF(E913="","","EMP-" &amp; TEXT(IF(COUNTIF(E$6:E913,E913)&gt;=1,MATCH(E913,$E$6:$E$1000,0),COUNTA(UNIQUE(E$6:E913))),"000"))</f>
        <v/>
      </c>
    </row>
    <row r="914" spans="4:4">
      <c r="D914" s="5" t="str">
        <f>IF(E914="","","EMP-" &amp; TEXT(IF(COUNTIF(E$6:E914,E914)&gt;=1,MATCH(E914,$E$6:$E$1000,0),COUNTA(UNIQUE(E$6:E914))),"000"))</f>
        <v/>
      </c>
    </row>
    <row r="915" spans="4:4">
      <c r="D915" s="5" t="str">
        <f>IF(E915="","","EMP-" &amp; TEXT(IF(COUNTIF(E$6:E915,E915)&gt;=1,MATCH(E915,$E$6:$E$1000,0),COUNTA(UNIQUE(E$6:E915))),"000"))</f>
        <v/>
      </c>
    </row>
    <row r="916" spans="4:4">
      <c r="D916" s="5" t="str">
        <f>IF(E916="","","EMP-" &amp; TEXT(IF(COUNTIF(E$6:E916,E916)&gt;=1,MATCH(E916,$E$6:$E$1000,0),COUNTA(UNIQUE(E$6:E916))),"000"))</f>
        <v/>
      </c>
    </row>
    <row r="917" spans="4:4">
      <c r="D917" s="5" t="str">
        <f>IF(E917="","","EMP-" &amp; TEXT(IF(COUNTIF(E$6:E917,E917)&gt;=1,MATCH(E917,$E$6:$E$1000,0),COUNTA(UNIQUE(E$6:E917))),"000"))</f>
        <v/>
      </c>
    </row>
    <row r="918" spans="4:4">
      <c r="D918" s="5" t="str">
        <f>IF(E918="","","EMP-" &amp; TEXT(IF(COUNTIF(E$6:E918,E918)&gt;=1,MATCH(E918,$E$6:$E$1000,0),COUNTA(UNIQUE(E$6:E918))),"000"))</f>
        <v/>
      </c>
    </row>
    <row r="919" spans="4:4">
      <c r="D919" s="5" t="str">
        <f>IF(E919="","","EMP-" &amp; TEXT(IF(COUNTIF(E$6:E919,E919)&gt;=1,MATCH(E919,$E$6:$E$1000,0),COUNTA(UNIQUE(E$6:E919))),"000"))</f>
        <v/>
      </c>
    </row>
    <row r="920" spans="4:4">
      <c r="D920" s="5" t="str">
        <f>IF(E920="","","EMP-" &amp; TEXT(IF(COUNTIF(E$6:E920,E920)&gt;=1,MATCH(E920,$E$6:$E$1000,0),COUNTA(UNIQUE(E$6:E920))),"000"))</f>
        <v/>
      </c>
    </row>
    <row r="921" spans="4:4">
      <c r="D921" s="5" t="str">
        <f>IF(E921="","","EMP-" &amp; TEXT(IF(COUNTIF(E$6:E921,E921)&gt;=1,MATCH(E921,$E$6:$E$1000,0),COUNTA(UNIQUE(E$6:E921))),"000"))</f>
        <v/>
      </c>
    </row>
    <row r="922" spans="4:4">
      <c r="D922" s="5" t="str">
        <f>IF(E922="","","EMP-" &amp; TEXT(IF(COUNTIF(E$6:E922,E922)&gt;=1,MATCH(E922,$E$6:$E$1000,0),COUNTA(UNIQUE(E$6:E922))),"000"))</f>
        <v/>
      </c>
    </row>
    <row r="923" spans="4:4">
      <c r="D923" s="5" t="str">
        <f>IF(E923="","","EMP-" &amp; TEXT(IF(COUNTIF(E$6:E923,E923)&gt;=1,MATCH(E923,$E$6:$E$1000,0),COUNTA(UNIQUE(E$6:E923))),"000"))</f>
        <v/>
      </c>
    </row>
    <row r="924" spans="4:4">
      <c r="D924" s="5" t="str">
        <f>IF(E924="","","EMP-" &amp; TEXT(IF(COUNTIF(E$6:E924,E924)&gt;=1,MATCH(E924,$E$6:$E$1000,0),COUNTA(UNIQUE(E$6:E924))),"000"))</f>
        <v/>
      </c>
    </row>
    <row r="925" spans="4:4">
      <c r="D925" s="5" t="str">
        <f>IF(E925="","","EMP-" &amp; TEXT(IF(COUNTIF(E$6:E925,E925)&gt;=1,MATCH(E925,$E$6:$E$1000,0),COUNTA(UNIQUE(E$6:E925))),"000"))</f>
        <v/>
      </c>
    </row>
    <row r="926" spans="4:4">
      <c r="D926" s="5" t="str">
        <f>IF(E926="","","EMP-" &amp; TEXT(IF(COUNTIF(E$6:E926,E926)&gt;=1,MATCH(E926,$E$6:$E$1000,0),COUNTA(UNIQUE(E$6:E926))),"000"))</f>
        <v/>
      </c>
    </row>
    <row r="927" spans="4:4">
      <c r="D927" s="5" t="str">
        <f>IF(E927="","","EMP-" &amp; TEXT(IF(COUNTIF(E$6:E927,E927)&gt;=1,MATCH(E927,$E$6:$E$1000,0),COUNTA(UNIQUE(E$6:E927))),"000"))</f>
        <v/>
      </c>
    </row>
    <row r="928" spans="4:4">
      <c r="D928" s="5" t="str">
        <f>IF(E928="","","EMP-" &amp; TEXT(IF(COUNTIF(E$6:E928,E928)&gt;=1,MATCH(E928,$E$6:$E$1000,0),COUNTA(UNIQUE(E$6:E928))),"000"))</f>
        <v/>
      </c>
    </row>
    <row r="929" spans="4:4">
      <c r="D929" s="5" t="str">
        <f>IF(E929="","","EMP-" &amp; TEXT(IF(COUNTIF(E$6:E929,E929)&gt;=1,MATCH(E929,$E$6:$E$1000,0),COUNTA(UNIQUE(E$6:E929))),"000"))</f>
        <v/>
      </c>
    </row>
    <row r="930" spans="4:4">
      <c r="D930" s="5" t="str">
        <f>IF(E930="","","EMP-" &amp; TEXT(IF(COUNTIF(E$6:E930,E930)&gt;=1,MATCH(E930,$E$6:$E$1000,0),COUNTA(UNIQUE(E$6:E930))),"000"))</f>
        <v/>
      </c>
    </row>
    <row r="931" spans="4:4">
      <c r="D931" s="5" t="str">
        <f>IF(E931="","","EMP-" &amp; TEXT(IF(COUNTIF(E$6:E931,E931)&gt;=1,MATCH(E931,$E$6:$E$1000,0),COUNTA(UNIQUE(E$6:E931))),"000"))</f>
        <v/>
      </c>
    </row>
    <row r="932" spans="4:4">
      <c r="D932" s="5" t="str">
        <f>IF(E932="","","EMP-" &amp; TEXT(IF(COUNTIF(E$6:E932,E932)&gt;=1,MATCH(E932,$E$6:$E$1000,0),COUNTA(UNIQUE(E$6:E932))),"000"))</f>
        <v/>
      </c>
    </row>
    <row r="933" spans="4:4">
      <c r="D933" s="5" t="str">
        <f>IF(E933="","","EMP-" &amp; TEXT(IF(COUNTIF(E$6:E933,E933)&gt;=1,MATCH(E933,$E$6:$E$1000,0),COUNTA(UNIQUE(E$6:E933))),"000"))</f>
        <v/>
      </c>
    </row>
    <row r="934" spans="4:4">
      <c r="D934" s="5" t="str">
        <f>IF(E934="","","EMP-" &amp; TEXT(IF(COUNTIF(E$6:E934,E934)&gt;=1,MATCH(E934,$E$6:$E$1000,0),COUNTA(UNIQUE(E$6:E934))),"000"))</f>
        <v/>
      </c>
    </row>
    <row r="935" spans="4:4">
      <c r="D935" s="5" t="str">
        <f>IF(E935="","","EMP-" &amp; TEXT(IF(COUNTIF(E$6:E935,E935)&gt;=1,MATCH(E935,$E$6:$E$1000,0),COUNTA(UNIQUE(E$6:E935))),"000"))</f>
        <v/>
      </c>
    </row>
    <row r="936" spans="4:4">
      <c r="D936" s="5" t="str">
        <f>IF(E936="","","EMP-" &amp; TEXT(IF(COUNTIF(E$6:E936,E936)&gt;=1,MATCH(E936,$E$6:$E$1000,0),COUNTA(UNIQUE(E$6:E936))),"000"))</f>
        <v/>
      </c>
    </row>
    <row r="937" spans="4:4">
      <c r="D937" s="5" t="str">
        <f>IF(E937="","","EMP-" &amp; TEXT(IF(COUNTIF(E$6:E937,E937)&gt;=1,MATCH(E937,$E$6:$E$1000,0),COUNTA(UNIQUE(E$6:E937))),"000"))</f>
        <v/>
      </c>
    </row>
    <row r="938" spans="4:4">
      <c r="D938" s="5" t="str">
        <f>IF(E938="","","EMP-" &amp; TEXT(IF(COUNTIF(E$6:E938,E938)&gt;=1,MATCH(E938,$E$6:$E$1000,0),COUNTA(UNIQUE(E$6:E938))),"000"))</f>
        <v/>
      </c>
    </row>
    <row r="939" spans="4:4">
      <c r="D939" s="5" t="str">
        <f>IF(E939="","","EMP-" &amp; TEXT(IF(COUNTIF(E$6:E939,E939)&gt;=1,MATCH(E939,$E$6:$E$1000,0),COUNTA(UNIQUE(E$6:E939))),"000"))</f>
        <v/>
      </c>
    </row>
    <row r="940" spans="4:4">
      <c r="D940" s="5" t="str">
        <f>IF(E940="","","EMP-" &amp; TEXT(IF(COUNTIF(E$6:E940,E940)&gt;=1,MATCH(E940,$E$6:$E$1000,0),COUNTA(UNIQUE(E$6:E940))),"000"))</f>
        <v/>
      </c>
    </row>
    <row r="941" spans="4:4">
      <c r="D941" s="5" t="str">
        <f>IF(E941="","","EMP-" &amp; TEXT(IF(COUNTIF(E$6:E941,E941)&gt;=1,MATCH(E941,$E$6:$E$1000,0),COUNTA(UNIQUE(E$6:E941))),"000"))</f>
        <v/>
      </c>
    </row>
    <row r="942" spans="4:4">
      <c r="D942" s="5" t="str">
        <f>IF(E942="","","EMP-" &amp; TEXT(IF(COUNTIF(E$6:E942,E942)&gt;=1,MATCH(E942,$E$6:$E$1000,0),COUNTA(UNIQUE(E$6:E942))),"000"))</f>
        <v/>
      </c>
    </row>
    <row r="943" spans="4:4">
      <c r="D943" s="5" t="str">
        <f>IF(E943="","","EMP-" &amp; TEXT(IF(COUNTIF(E$6:E943,E943)&gt;=1,MATCH(E943,$E$6:$E$1000,0),COUNTA(UNIQUE(E$6:E943))),"000"))</f>
        <v/>
      </c>
    </row>
    <row r="944" spans="4:4">
      <c r="D944" s="5" t="str">
        <f>IF(E944="","","EMP-" &amp; TEXT(IF(COUNTIF(E$6:E944,E944)&gt;=1,MATCH(E944,$E$6:$E$1000,0),COUNTA(UNIQUE(E$6:E944))),"000"))</f>
        <v/>
      </c>
    </row>
    <row r="945" spans="4:4">
      <c r="D945" s="5" t="str">
        <f>IF(E945="","","EMP-" &amp; TEXT(IF(COUNTIF(E$6:E945,E945)&gt;=1,MATCH(E945,$E$6:$E$1000,0),COUNTA(UNIQUE(E$6:E945))),"000"))</f>
        <v/>
      </c>
    </row>
    <row r="946" spans="4:4">
      <c r="D946" s="5" t="str">
        <f>IF(E946="","","EMP-" &amp; TEXT(IF(COUNTIF(E$6:E946,E946)&gt;=1,MATCH(E946,$E$6:$E$1000,0),COUNTA(UNIQUE(E$6:E946))),"000"))</f>
        <v/>
      </c>
    </row>
    <row r="947" spans="4:4">
      <c r="D947" s="5" t="str">
        <f>IF(E947="","","EMP-" &amp; TEXT(IF(COUNTIF(E$6:E947,E947)&gt;=1,MATCH(E947,$E$6:$E$1000,0),COUNTA(UNIQUE(E$6:E947))),"000"))</f>
        <v/>
      </c>
    </row>
    <row r="948" spans="4:4">
      <c r="D948" s="5" t="str">
        <f>IF(E948="","","EMP-" &amp; TEXT(IF(COUNTIF(E$6:E948,E948)&gt;=1,MATCH(E948,$E$6:$E$1000,0),COUNTA(UNIQUE(E$6:E948))),"000"))</f>
        <v/>
      </c>
    </row>
    <row r="949" spans="4:4">
      <c r="D949" s="5" t="str">
        <f>IF(E949="","","EMP-" &amp; TEXT(IF(COUNTIF(E$6:E949,E949)&gt;=1,MATCH(E949,$E$6:$E$1000,0),COUNTA(UNIQUE(E$6:E949))),"000"))</f>
        <v/>
      </c>
    </row>
    <row r="950" spans="4:4">
      <c r="D950" s="5" t="str">
        <f>IF(E950="","","EMP-" &amp; TEXT(IF(COUNTIF(E$6:E950,E950)&gt;=1,MATCH(E950,$E$6:$E$1000,0),COUNTA(UNIQUE(E$6:E950))),"000"))</f>
        <v/>
      </c>
    </row>
    <row r="951" spans="4:4">
      <c r="D951" s="5" t="str">
        <f>IF(E951="","","EMP-" &amp; TEXT(IF(COUNTIF(E$6:E951,E951)&gt;=1,MATCH(E951,$E$6:$E$1000,0),COUNTA(UNIQUE(E$6:E951))),"000"))</f>
        <v/>
      </c>
    </row>
    <row r="952" spans="4:4">
      <c r="D952" s="5" t="str">
        <f>IF(E952="","","EMP-" &amp; TEXT(IF(COUNTIF(E$6:E952,E952)&gt;=1,MATCH(E952,$E$6:$E$1000,0),COUNTA(UNIQUE(E$6:E952))),"000"))</f>
        <v/>
      </c>
    </row>
    <row r="953" spans="4:4">
      <c r="D953" s="5" t="str">
        <f>IF(E953="","","EMP-" &amp; TEXT(IF(COUNTIF(E$6:E953,E953)&gt;=1,MATCH(E953,$E$6:$E$1000,0),COUNTA(UNIQUE(E$6:E953))),"000"))</f>
        <v/>
      </c>
    </row>
    <row r="954" spans="4:4">
      <c r="D954" s="5" t="str">
        <f>IF(E954="","","EMP-" &amp; TEXT(IF(COUNTIF(E$6:E954,E954)&gt;=1,MATCH(E954,$E$6:$E$1000,0),COUNTA(UNIQUE(E$6:E954))),"000"))</f>
        <v/>
      </c>
    </row>
    <row r="955" spans="4:4">
      <c r="D955" s="5" t="str">
        <f>IF(E955="","","EMP-" &amp; TEXT(IF(COUNTIF(E$6:E955,E955)&gt;=1,MATCH(E955,$E$6:$E$1000,0),COUNTA(UNIQUE(E$6:E955))),"000"))</f>
        <v/>
      </c>
    </row>
    <row r="956" spans="4:4">
      <c r="D956" s="5" t="str">
        <f>IF(E956="","","EMP-" &amp; TEXT(IF(COUNTIF(E$6:E956,E956)&gt;=1,MATCH(E956,$E$6:$E$1000,0),COUNTA(UNIQUE(E$6:E956))),"000"))</f>
        <v/>
      </c>
    </row>
    <row r="957" spans="4:4">
      <c r="D957" s="5" t="str">
        <f>IF(E957="","","EMP-" &amp; TEXT(IF(COUNTIF(E$6:E957,E957)&gt;=1,MATCH(E957,$E$6:$E$1000,0),COUNTA(UNIQUE(E$6:E957))),"000"))</f>
        <v/>
      </c>
    </row>
    <row r="958" spans="4:4">
      <c r="D958" s="5" t="str">
        <f>IF(E958="","","EMP-" &amp; TEXT(IF(COUNTIF(E$6:E958,E958)&gt;=1,MATCH(E958,$E$6:$E$1000,0),COUNTA(UNIQUE(E$6:E958))),"000"))</f>
        <v/>
      </c>
    </row>
    <row r="959" spans="4:4">
      <c r="D959" s="5" t="str">
        <f>IF(E959="","","EMP-" &amp; TEXT(IF(COUNTIF(E$6:E959,E959)&gt;=1,MATCH(E959,$E$6:$E$1000,0),COUNTA(UNIQUE(E$6:E959))),"000"))</f>
        <v/>
      </c>
    </row>
    <row r="960" spans="4:4">
      <c r="D960" s="5" t="str">
        <f>IF(E960="","","EMP-" &amp; TEXT(IF(COUNTIF(E$6:E960,E960)&gt;=1,MATCH(E960,$E$6:$E$1000,0),COUNTA(UNIQUE(E$6:E960))),"000"))</f>
        <v/>
      </c>
    </row>
    <row r="961" spans="4:4">
      <c r="D961" s="5" t="str">
        <f>IF(E961="","","EMP-" &amp; TEXT(IF(COUNTIF(E$6:E961,E961)&gt;=1,MATCH(E961,$E$6:$E$1000,0),COUNTA(UNIQUE(E$6:E961))),"000"))</f>
        <v/>
      </c>
    </row>
    <row r="962" spans="4:4">
      <c r="D962" s="5" t="str">
        <f>IF(E962="","","EMP-" &amp; TEXT(IF(COUNTIF(E$6:E962,E962)&gt;=1,MATCH(E962,$E$6:$E$1000,0),COUNTA(UNIQUE(E$6:E962))),"000"))</f>
        <v/>
      </c>
    </row>
    <row r="963" spans="4:4">
      <c r="D963" s="5" t="str">
        <f>IF(E963="","","EMP-" &amp; TEXT(IF(COUNTIF(E$6:E963,E963)&gt;=1,MATCH(E963,$E$6:$E$1000,0),COUNTA(UNIQUE(E$6:E963))),"000"))</f>
        <v/>
      </c>
    </row>
    <row r="964" spans="4:4">
      <c r="D964" s="5" t="str">
        <f>IF(E964="","","EMP-" &amp; TEXT(IF(COUNTIF(E$6:E964,E964)&gt;=1,MATCH(E964,$E$6:$E$1000,0),COUNTA(UNIQUE(E$6:E964))),"000"))</f>
        <v/>
      </c>
    </row>
    <row r="965" spans="4:4">
      <c r="D965" s="5" t="str">
        <f>IF(E965="","","EMP-" &amp; TEXT(IF(COUNTIF(E$6:E965,E965)&gt;=1,MATCH(E965,$E$6:$E$1000,0),COUNTA(UNIQUE(E$6:E965))),"000"))</f>
        <v/>
      </c>
    </row>
    <row r="966" spans="4:4">
      <c r="D966" s="5" t="str">
        <f>IF(E966="","","EMP-" &amp; TEXT(IF(COUNTIF(E$6:E966,E966)&gt;=1,MATCH(E966,$E$6:$E$1000,0),COUNTA(UNIQUE(E$6:E966))),"000"))</f>
        <v/>
      </c>
    </row>
    <row r="967" spans="4:4">
      <c r="D967" s="5" t="str">
        <f>IF(E967="","","EMP-" &amp; TEXT(IF(COUNTIF(E$6:E967,E967)&gt;=1,MATCH(E967,$E$6:$E$1000,0),COUNTA(UNIQUE(E$6:E967))),"000"))</f>
        <v/>
      </c>
    </row>
    <row r="968" spans="4:4">
      <c r="D968" s="5" t="str">
        <f>IF(E968="","","EMP-" &amp; TEXT(IF(COUNTIF(E$6:E968,E968)&gt;=1,MATCH(E968,$E$6:$E$1000,0),COUNTA(UNIQUE(E$6:E968))),"000"))</f>
        <v/>
      </c>
    </row>
    <row r="969" spans="4:4">
      <c r="D969" s="5" t="str">
        <f>IF(E969="","","EMP-" &amp; TEXT(IF(COUNTIF(E$6:E969,E969)&gt;=1,MATCH(E969,$E$6:$E$1000,0),COUNTA(UNIQUE(E$6:E969))),"000"))</f>
        <v/>
      </c>
    </row>
    <row r="970" spans="4:4">
      <c r="D970" s="5" t="str">
        <f>IF(E970="","","EMP-" &amp; TEXT(IF(COUNTIF(E$6:E970,E970)&gt;=1,MATCH(E970,$E$6:$E$1000,0),COUNTA(UNIQUE(E$6:E970))),"000"))</f>
        <v/>
      </c>
    </row>
    <row r="971" spans="4:4">
      <c r="D971" s="5" t="str">
        <f>IF(E971="","","EMP-" &amp; TEXT(IF(COUNTIF(E$6:E971,E971)&gt;=1,MATCH(E971,$E$6:$E$1000,0),COUNTA(UNIQUE(E$6:E971))),"000"))</f>
        <v/>
      </c>
    </row>
    <row r="972" spans="4:4">
      <c r="D972" s="5" t="str">
        <f>IF(E972="","","EMP-" &amp; TEXT(IF(COUNTIF(E$6:E972,E972)&gt;=1,MATCH(E972,$E$6:$E$1000,0),COUNTA(UNIQUE(E$6:E972))),"000"))</f>
        <v/>
      </c>
    </row>
    <row r="973" spans="4:4">
      <c r="D973" s="5" t="str">
        <f>IF(E973="","","EMP-" &amp; TEXT(IF(COUNTIF(E$6:E973,E973)&gt;=1,MATCH(E973,$E$6:$E$1000,0),COUNTA(UNIQUE(E$6:E973))),"000"))</f>
        <v/>
      </c>
    </row>
    <row r="974" spans="4:4">
      <c r="D974" s="5" t="str">
        <f>IF(E974="","","EMP-" &amp; TEXT(IF(COUNTIF(E$6:E974,E974)&gt;=1,MATCH(E974,$E$6:$E$1000,0),COUNTA(UNIQUE(E$6:E974))),"000"))</f>
        <v/>
      </c>
    </row>
    <row r="975" spans="4:4">
      <c r="D975" s="5" t="str">
        <f>IF(E975="","","EMP-" &amp; TEXT(IF(COUNTIF(E$6:E975,E975)&gt;=1,MATCH(E975,$E$6:$E$1000,0),COUNTA(UNIQUE(E$6:E975))),"000"))</f>
        <v/>
      </c>
    </row>
    <row r="976" spans="4:4">
      <c r="D976" s="5" t="str">
        <f>IF(E976="","","EMP-" &amp; TEXT(IF(COUNTIF(E$6:E976,E976)&gt;=1,MATCH(E976,$E$6:$E$1000,0),COUNTA(UNIQUE(E$6:E976))),"000"))</f>
        <v/>
      </c>
    </row>
    <row r="977" spans="4:4">
      <c r="D977" s="5" t="str">
        <f>IF(E977="","","EMP-" &amp; TEXT(IF(COUNTIF(E$6:E977,E977)&gt;=1,MATCH(E977,$E$6:$E$1000,0),COUNTA(UNIQUE(E$6:E977))),"000"))</f>
        <v/>
      </c>
    </row>
    <row r="978" spans="4:4">
      <c r="D978" s="5" t="str">
        <f>IF(E978="","","EMP-" &amp; TEXT(IF(COUNTIF(E$6:E978,E978)&gt;=1,MATCH(E978,$E$6:$E$1000,0),COUNTA(UNIQUE(E$6:E978))),"000"))</f>
        <v/>
      </c>
    </row>
    <row r="979" spans="4:4">
      <c r="D979" s="5" t="str">
        <f>IF(E979="","","EMP-" &amp; TEXT(IF(COUNTIF(E$6:E979,E979)&gt;=1,MATCH(E979,$E$6:$E$1000,0),COUNTA(UNIQUE(E$6:E979))),"000"))</f>
        <v/>
      </c>
    </row>
    <row r="980" spans="4:4">
      <c r="D980" s="5" t="str">
        <f>IF(E980="","","EMP-" &amp; TEXT(IF(COUNTIF(E$6:E980,E980)&gt;=1,MATCH(E980,$E$6:$E$1000,0),COUNTA(UNIQUE(E$6:E980))),"000"))</f>
        <v/>
      </c>
    </row>
    <row r="981" spans="4:4">
      <c r="D981" s="5" t="str">
        <f>IF(E981="","","EMP-" &amp; TEXT(IF(COUNTIF(E$6:E981,E981)&gt;=1,MATCH(E981,$E$6:$E$1000,0),COUNTA(UNIQUE(E$6:E981))),"000"))</f>
        <v/>
      </c>
    </row>
    <row r="982" spans="4:4">
      <c r="D982" s="5" t="str">
        <f>IF(E982="","","EMP-" &amp; TEXT(IF(COUNTIF(E$6:E982,E982)&gt;=1,MATCH(E982,$E$6:$E$1000,0),COUNTA(UNIQUE(E$6:E982))),"000"))</f>
        <v/>
      </c>
    </row>
    <row r="983" spans="4:4">
      <c r="D983" s="5" t="str">
        <f>IF(E983="","","EMP-" &amp; TEXT(IF(COUNTIF(E$6:E983,E983)&gt;=1,MATCH(E983,$E$6:$E$1000,0),COUNTA(UNIQUE(E$6:E983))),"000"))</f>
        <v/>
      </c>
    </row>
    <row r="984" spans="4:4">
      <c r="D984" s="5" t="str">
        <f>IF(E984="","","EMP-" &amp; TEXT(IF(COUNTIF(E$6:E984,E984)&gt;=1,MATCH(E984,$E$6:$E$1000,0),COUNTA(UNIQUE(E$6:E984))),"000"))</f>
        <v/>
      </c>
    </row>
    <row r="985" spans="4:4">
      <c r="D985" s="5" t="str">
        <f>IF(E985="","","EMP-" &amp; TEXT(IF(COUNTIF(E$6:E985,E985)&gt;=1,MATCH(E985,$E$6:$E$1000,0),COUNTA(UNIQUE(E$6:E985))),"000"))</f>
        <v/>
      </c>
    </row>
    <row r="986" spans="4:4">
      <c r="D986" s="5" t="str">
        <f>IF(E986="","","EMP-" &amp; TEXT(IF(COUNTIF(E$6:E986,E986)&gt;=1,MATCH(E986,$E$6:$E$1000,0),COUNTA(UNIQUE(E$6:E986))),"000"))</f>
        <v/>
      </c>
    </row>
    <row r="987" spans="4:4">
      <c r="D987" s="5" t="str">
        <f>IF(E987="","","EMP-" &amp; TEXT(IF(COUNTIF(E$6:E987,E987)&gt;=1,MATCH(E987,$E$6:$E$1000,0),COUNTA(UNIQUE(E$6:E987))),"000"))</f>
        <v/>
      </c>
    </row>
    <row r="988" spans="4:4">
      <c r="D988" s="5" t="str">
        <f>IF(E988="","","EMP-" &amp; TEXT(IF(COUNTIF(E$6:E988,E988)&gt;=1,MATCH(E988,$E$6:$E$1000,0),COUNTA(UNIQUE(E$6:E988))),"000"))</f>
        <v/>
      </c>
    </row>
    <row r="989" spans="4:4">
      <c r="D989" s="5" t="str">
        <f>IF(E989="","","EMP-" &amp; TEXT(IF(COUNTIF(E$6:E989,E989)&gt;=1,MATCH(E989,$E$6:$E$1000,0),COUNTA(UNIQUE(E$6:E989))),"000"))</f>
        <v/>
      </c>
    </row>
    <row r="990" spans="4:4">
      <c r="D990" s="5" t="str">
        <f>IF(E990="","","EMP-" &amp; TEXT(IF(COUNTIF(E$6:E990,E990)&gt;=1,MATCH(E990,$E$6:$E$1000,0),COUNTA(UNIQUE(E$6:E990))),"000"))</f>
        <v/>
      </c>
    </row>
    <row r="991" spans="4:4">
      <c r="D991" s="5" t="str">
        <f>IF(E991="","","EMP-" &amp; TEXT(IF(COUNTIF(E$6:E991,E991)&gt;=1,MATCH(E991,$E$6:$E$1000,0),COUNTA(UNIQUE(E$6:E991))),"000"))</f>
        <v/>
      </c>
    </row>
    <row r="992" spans="4:4">
      <c r="D992" s="5" t="str">
        <f>IF(E992="","","EMP-" &amp; TEXT(IF(COUNTIF(E$6:E992,E992)&gt;=1,MATCH(E992,$E$6:$E$1000,0),COUNTA(UNIQUE(E$6:E992))),"000"))</f>
        <v/>
      </c>
    </row>
    <row r="993" spans="4:4">
      <c r="D993" s="5" t="str">
        <f>IF(E993="","","EMP-" &amp; TEXT(IF(COUNTIF(E$6:E993,E993)&gt;=1,MATCH(E993,$E$6:$E$1000,0),COUNTA(UNIQUE(E$6:E993))),"000"))</f>
        <v/>
      </c>
    </row>
    <row r="994" spans="4:4">
      <c r="D994" s="5" t="str">
        <f>IF(E994="","","EMP-" &amp; TEXT(IF(COUNTIF(E$6:E994,E994)&gt;=1,MATCH(E994,$E$6:$E$1000,0),COUNTA(UNIQUE(E$6:E994))),"000"))</f>
        <v/>
      </c>
    </row>
    <row r="995" spans="4:4">
      <c r="D995" s="5" t="str">
        <f>IF(E995="","","EMP-" &amp; TEXT(IF(COUNTIF(E$6:E995,E995)&gt;=1,MATCH(E995,$E$6:$E$1000,0),COUNTA(UNIQUE(E$6:E995))),"000"))</f>
        <v/>
      </c>
    </row>
    <row r="996" spans="4:4">
      <c r="D996" s="5" t="str">
        <f>IF(E996="","","EMP-" &amp; TEXT(IF(COUNTIF(E$6:E996,E996)&gt;=1,MATCH(E996,$E$6:$E$1000,0),COUNTA(UNIQUE(E$6:E996))),"000"))</f>
        <v/>
      </c>
    </row>
    <row r="997" spans="4:4">
      <c r="D997" s="5" t="str">
        <f>IF(E997="","","EMP-" &amp; TEXT(IF(COUNTIF(E$6:E997,E997)&gt;=1,MATCH(E997,$E$6:$E$1000,0),COUNTA(UNIQUE(E$6:E997))),"000"))</f>
        <v/>
      </c>
    </row>
    <row r="998" spans="4:4">
      <c r="D998" s="5" t="str">
        <f>IF(E998="","","EMP-" &amp; TEXT(IF(COUNTIF(E$6:E998,E998)&gt;=1,MATCH(E998,$E$6:$E$1000,0),COUNTA(UNIQUE(E$6:E998))),"000"))</f>
        <v/>
      </c>
    </row>
    <row r="999" spans="4:4">
      <c r="D999" s="5" t="str">
        <f>IF(E999="","","EMP-" &amp; TEXT(IF(COUNTIF(E$6:E999,E999)&gt;=1,MATCH(E999,$E$6:$E$1000,0),COUNTA(UNIQUE(E$6:E999))),"000"))</f>
        <v/>
      </c>
    </row>
    <row r="1000" spans="4:4">
      <c r="D1000" s="5" t="str">
        <f>IF(E1000="","","EMP-" &amp; TEXT(IF(COUNTIF(E$6:E1000,E1000)&gt;=1,MATCH(E1000,$E$6:$E$1000,0),COUNTA(UNIQUE(E$6:E1000))),"000"))</f>
        <v/>
      </c>
    </row>
  </sheetData>
  <mergeCells count="7">
    <mergeCell ref="I4:I5"/>
    <mergeCell ref="C4:C5"/>
    <mergeCell ref="D4:D5"/>
    <mergeCell ref="E4:E5"/>
    <mergeCell ref="F4:F5"/>
    <mergeCell ref="G4:G5"/>
    <mergeCell ref="H4:H5"/>
  </mergeCells>
  <dataValidations count="1">
    <dataValidation type="list" allowBlank="1" showInputMessage="1" showErrorMessage="1" sqref="H6:H1000" xr:uid="{A1B00CEB-5E0F-46E1-9D4B-48EA346FE6BB}">
      <formula1>"Lajang, Menikah, Cerai"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0"/>
  <sheetViews>
    <sheetView workbookViewId="0">
      <selection activeCell="E11" sqref="E11"/>
    </sheetView>
  </sheetViews>
  <sheetFormatPr defaultRowHeight="14.4"/>
  <cols>
    <col min="4" max="4" width="13.109375" style="71" bestFit="1" customWidth="1"/>
    <col min="5" max="5" width="16.21875" bestFit="1" customWidth="1"/>
  </cols>
  <sheetData>
    <row r="3" spans="3:5">
      <c r="C3" t="s">
        <v>237</v>
      </c>
      <c r="D3" s="71" t="s">
        <v>250</v>
      </c>
      <c r="E3" t="s">
        <v>251</v>
      </c>
    </row>
    <row r="4" spans="3:5">
      <c r="C4">
        <v>1</v>
      </c>
      <c r="D4" s="71" t="s">
        <v>253</v>
      </c>
      <c r="E4" t="s">
        <v>252</v>
      </c>
    </row>
    <row r="5" spans="3:5">
      <c r="C5">
        <v>2</v>
      </c>
      <c r="D5" s="71" t="s">
        <v>255</v>
      </c>
      <c r="E5" t="s">
        <v>254</v>
      </c>
    </row>
    <row r="6" spans="3:5">
      <c r="C6">
        <v>3</v>
      </c>
      <c r="D6" s="71" t="s">
        <v>256</v>
      </c>
      <c r="E6" t="s">
        <v>243</v>
      </c>
    </row>
    <row r="7" spans="3:5">
      <c r="C7">
        <v>4</v>
      </c>
      <c r="D7" s="71" t="s">
        <v>257</v>
      </c>
      <c r="E7" t="s">
        <v>245</v>
      </c>
    </row>
    <row r="8" spans="3:5">
      <c r="C8">
        <v>5</v>
      </c>
      <c r="D8" s="71" t="s">
        <v>259</v>
      </c>
      <c r="E8" t="s">
        <v>258</v>
      </c>
    </row>
    <row r="9" spans="3:5">
      <c r="C9">
        <v>6</v>
      </c>
      <c r="D9" s="71" t="s">
        <v>261</v>
      </c>
      <c r="E9" t="s">
        <v>260</v>
      </c>
    </row>
    <row r="10" spans="3:5">
      <c r="C10">
        <v>7</v>
      </c>
      <c r="D10" s="71" t="s">
        <v>262</v>
      </c>
      <c r="E10" t="s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5:E11"/>
  <sheetViews>
    <sheetView workbookViewId="0">
      <selection activeCell="C22" sqref="C22"/>
    </sheetView>
  </sheetViews>
  <sheetFormatPr defaultRowHeight="14.4"/>
  <cols>
    <col min="2" max="2" width="11.5546875" style="71" bestFit="1" customWidth="1"/>
    <col min="3" max="3" width="12.88671875" style="1" bestFit="1" customWidth="1"/>
    <col min="4" max="4" width="9.5546875" style="71" bestFit="1" customWidth="1"/>
    <col min="5" max="5" width="16" bestFit="1" customWidth="1"/>
  </cols>
  <sheetData>
    <row r="5" spans="3:5">
      <c r="C5" s="1" t="s">
        <v>237</v>
      </c>
      <c r="D5" s="71" t="s">
        <v>238</v>
      </c>
      <c r="E5" t="s">
        <v>239</v>
      </c>
    </row>
    <row r="6" spans="3:5">
      <c r="C6" s="1">
        <v>1</v>
      </c>
      <c r="D6" s="71" t="s">
        <v>232</v>
      </c>
      <c r="E6" t="s">
        <v>240</v>
      </c>
    </row>
    <row r="7" spans="3:5">
      <c r="C7" s="1">
        <v>2</v>
      </c>
      <c r="D7" s="71" t="s">
        <v>231</v>
      </c>
      <c r="E7" t="s">
        <v>241</v>
      </c>
    </row>
    <row r="8" spans="3:5">
      <c r="C8" s="1">
        <v>3</v>
      </c>
      <c r="D8" s="71" t="s">
        <v>233</v>
      </c>
      <c r="E8" t="s">
        <v>242</v>
      </c>
    </row>
    <row r="9" spans="3:5">
      <c r="C9" s="1">
        <v>4</v>
      </c>
      <c r="D9" s="71" t="s">
        <v>234</v>
      </c>
      <c r="E9" t="s">
        <v>245</v>
      </c>
    </row>
    <row r="10" spans="3:5">
      <c r="C10" s="1">
        <v>5</v>
      </c>
      <c r="D10" s="71" t="s">
        <v>235</v>
      </c>
      <c r="E10" t="s">
        <v>243</v>
      </c>
    </row>
    <row r="11" spans="3:5">
      <c r="C11" s="1">
        <v>6</v>
      </c>
      <c r="D11" s="71" t="s">
        <v>236</v>
      </c>
      <c r="E11" t="s">
        <v>244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3:G11"/>
  <sheetViews>
    <sheetView workbookViewId="0">
      <selection activeCell="C4" sqref="C4"/>
    </sheetView>
  </sheetViews>
  <sheetFormatPr defaultRowHeight="14.4"/>
  <cols>
    <col min="3" max="3" width="12" style="1" bestFit="1" customWidth="1"/>
    <col min="4" max="4" width="15.5546875" style="1" bestFit="1" customWidth="1"/>
    <col min="5" max="5" width="11.6640625" style="1" customWidth="1"/>
    <col min="6" max="6" width="14.88671875" bestFit="1" customWidth="1"/>
    <col min="7" max="7" width="14.109375" bestFit="1" customWidth="1"/>
  </cols>
  <sheetData>
    <row r="3" spans="2:7">
      <c r="B3" s="72" t="s">
        <v>237</v>
      </c>
      <c r="C3" s="73" t="s">
        <v>246</v>
      </c>
      <c r="D3" s="73" t="s">
        <v>247</v>
      </c>
      <c r="E3" s="73" t="s">
        <v>248</v>
      </c>
      <c r="F3" s="73" t="s">
        <v>249</v>
      </c>
      <c r="G3" s="73" t="s">
        <v>263</v>
      </c>
    </row>
    <row r="4" spans="2:7">
      <c r="C4" s="1" t="str">
        <f>IF(D4="","",INDEX(Employee!$D$6:$D$100,MATCH(D4,Employee!$E$6:$E$100,0),0))</f>
        <v>329221</v>
      </c>
      <c r="D4" s="1" t="s">
        <v>51</v>
      </c>
      <c r="E4" s="1" t="s">
        <v>240</v>
      </c>
      <c r="F4" t="s">
        <v>260</v>
      </c>
      <c r="G4" t="s">
        <v>268</v>
      </c>
    </row>
    <row r="5" spans="2:7">
      <c r="C5" s="1" t="str">
        <f>IF(D5="","",INDEX(Employee!$D$6:$D$100,MATCH(D5,Employee!$E$6:$E$100,0),0))</f>
        <v>329222</v>
      </c>
      <c r="D5" s="1" t="s">
        <v>52</v>
      </c>
      <c r="E5" s="1" t="s">
        <v>241</v>
      </c>
      <c r="F5" t="s">
        <v>254</v>
      </c>
      <c r="G5" t="s">
        <v>272</v>
      </c>
    </row>
    <row r="6" spans="2:7">
      <c r="C6" s="1" t="str">
        <f>IF(D6="","",INDEX(Employee!$D$6:$D$100,MATCH(D6,Employee!$E$6:$E$100,0),0))</f>
        <v>328763</v>
      </c>
      <c r="D6" s="1" t="s">
        <v>53</v>
      </c>
      <c r="E6" s="1" t="s">
        <v>242</v>
      </c>
      <c r="F6" t="s">
        <v>243</v>
      </c>
      <c r="G6" t="s">
        <v>269</v>
      </c>
    </row>
    <row r="7" spans="2:7">
      <c r="C7" s="1" t="str">
        <f>IF(D7="","",INDEX(Employee!$D$6:$D$100,MATCH(D7,Employee!$E$6:$E$100,0),0))</f>
        <v>333654</v>
      </c>
      <c r="D7" s="1" t="s">
        <v>54</v>
      </c>
      <c r="E7" s="1" t="s">
        <v>245</v>
      </c>
      <c r="F7" t="s">
        <v>245</v>
      </c>
      <c r="G7" t="s">
        <v>270</v>
      </c>
    </row>
    <row r="8" spans="2:7">
      <c r="C8" s="1" t="str">
        <f>IF(D8="","",INDEX(Employee!$D$6:$D$100,MATCH(D8,Employee!$E$6:$E$100,0),0))</f>
        <v>336535</v>
      </c>
      <c r="D8" s="1" t="s">
        <v>55</v>
      </c>
      <c r="E8" s="1" t="s">
        <v>243</v>
      </c>
      <c r="F8" t="s">
        <v>252</v>
      </c>
      <c r="G8" t="s">
        <v>274</v>
      </c>
    </row>
    <row r="9" spans="2:7">
      <c r="C9" s="1" t="str">
        <f>IF(D9="","",INDEX(Employee!$D$6:$D$100,MATCH(D9,Employee!$E$6:$E$100,0),0))</f>
        <v>338256</v>
      </c>
      <c r="D9" s="1" t="s">
        <v>56</v>
      </c>
      <c r="E9" s="1" t="s">
        <v>244</v>
      </c>
      <c r="F9" t="s">
        <v>244</v>
      </c>
      <c r="G9" t="s">
        <v>268</v>
      </c>
    </row>
    <row r="10" spans="2:7">
      <c r="C10" s="1" t="str">
        <f>IF(D10="","",INDEX(Employee!$D$6:$D$100,MATCH(D10,Employee!$E$6:$E$100,0),0))</f>
        <v>329221</v>
      </c>
      <c r="D10" s="1" t="s">
        <v>51</v>
      </c>
      <c r="E10" s="1" t="s">
        <v>244</v>
      </c>
      <c r="F10" t="s">
        <v>244</v>
      </c>
      <c r="G10" t="s">
        <v>269</v>
      </c>
    </row>
    <row r="11" spans="2:7">
      <c r="C11" s="1" t="str">
        <f>IF(D11="","",INDEX(Employee!$D$6:$D$100,MATCH(D11,Employee!$E$6:$E$100,0),0))</f>
        <v>356768</v>
      </c>
      <c r="D11" s="1" t="s">
        <v>57</v>
      </c>
      <c r="E11" s="1" t="s">
        <v>244</v>
      </c>
      <c r="F11" t="s">
        <v>244</v>
      </c>
      <c r="G11" t="s">
        <v>272</v>
      </c>
    </row>
  </sheetData>
  <dataValidations count="1">
    <dataValidation type="list" allowBlank="1" showInputMessage="1" showErrorMessage="1" sqref="G4:G11" xr:uid="{CED0EFE5-F6A4-4A56-A454-F84E5BD171EC}">
      <formula1>Location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BF6882-B338-476F-86F1-4037531462C8}">
          <x14:formula1>
            <xm:f>Employee!$E$6:$E$1000</xm:f>
          </x14:formula1>
          <xm:sqref>D4:D31</xm:sqref>
        </x14:dataValidation>
        <x14:dataValidation type="list" allowBlank="1" showInputMessage="1" showErrorMessage="1" xr:uid="{144CB472-278E-4040-8E0E-8A7802B2212B}">
          <x14:formula1>
            <xm:f>'Employee Position'!$E$6:$E$11</xm:f>
          </x14:formula1>
          <xm:sqref>E4:E11</xm:sqref>
        </x14:dataValidation>
        <x14:dataValidation type="list" allowBlank="1" showInputMessage="1" showErrorMessage="1" xr:uid="{BE7D86A9-711D-4A01-9E6B-76FE8454922C}">
          <x14:formula1>
            <xm:f>Department!$E$4:$E$10</xm:f>
          </x14:formula1>
          <xm:sqref>F4:F22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41313-9477-4506-8C3A-7ADF065BA6D1}">
  <sheetPr codeName="Sheet15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4:E95"/>
  <sheetViews>
    <sheetView workbookViewId="0">
      <selection activeCell="G3" sqref="G3"/>
    </sheetView>
  </sheetViews>
  <sheetFormatPr defaultRowHeight="14.4"/>
  <cols>
    <col min="4" max="5" width="13.88671875" bestFit="1" customWidth="1"/>
  </cols>
  <sheetData>
    <row r="4" spans="3:5">
      <c r="C4" s="75" t="s">
        <v>4</v>
      </c>
      <c r="D4" s="75" t="s">
        <v>16</v>
      </c>
      <c r="E4" s="75" t="s">
        <v>1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s="3" t="s">
        <v>23</v>
      </c>
      <c r="E6" s="2" t="s">
        <v>5</v>
      </c>
    </row>
    <row r="7" spans="3:5">
      <c r="C7" s="1">
        <f t="shared" ref="C7:C70" si="0">IF(AND(D7="",E7=""),"",ROW(C2))</f>
        <v>2</v>
      </c>
      <c r="D7" s="3" t="s">
        <v>24</v>
      </c>
      <c r="E7" s="2" t="s">
        <v>17</v>
      </c>
    </row>
    <row r="8" spans="3:5">
      <c r="C8" s="1">
        <f t="shared" si="0"/>
        <v>3</v>
      </c>
      <c r="D8" s="3" t="s">
        <v>25</v>
      </c>
      <c r="E8" s="2" t="s">
        <v>18</v>
      </c>
    </row>
    <row r="9" spans="3:5">
      <c r="C9" s="1">
        <f t="shared" si="0"/>
        <v>4</v>
      </c>
      <c r="D9" s="3" t="s">
        <v>26</v>
      </c>
      <c r="E9" s="2" t="s">
        <v>19</v>
      </c>
    </row>
    <row r="10" spans="3:5">
      <c r="C10" s="1">
        <f t="shared" si="0"/>
        <v>5</v>
      </c>
      <c r="D10" s="3" t="s">
        <v>27</v>
      </c>
      <c r="E10" s="2" t="s">
        <v>20</v>
      </c>
    </row>
    <row r="11" spans="3:5">
      <c r="C11" s="1">
        <f t="shared" si="0"/>
        <v>6</v>
      </c>
      <c r="D11" s="3" t="s">
        <v>145</v>
      </c>
      <c r="E11" s="2" t="s">
        <v>144</v>
      </c>
    </row>
    <row r="12" spans="3:5">
      <c r="C12" s="1" t="str">
        <f t="shared" si="0"/>
        <v/>
      </c>
    </row>
    <row r="13" spans="3:5">
      <c r="C13" s="1" t="str">
        <f t="shared" si="0"/>
        <v/>
      </c>
    </row>
    <row r="14" spans="3:5">
      <c r="C14" s="1" t="str">
        <f t="shared" si="0"/>
        <v/>
      </c>
    </row>
    <row r="15" spans="3:5">
      <c r="C15" s="1" t="str">
        <f t="shared" si="0"/>
        <v/>
      </c>
    </row>
    <row r="16" spans="3:5">
      <c r="C16" s="1" t="str">
        <f t="shared" si="0"/>
        <v/>
      </c>
    </row>
    <row r="17" spans="3:3">
      <c r="C17" s="1" t="str">
        <f t="shared" si="0"/>
        <v/>
      </c>
    </row>
    <row r="18" spans="3:3">
      <c r="C18" s="1" t="str">
        <f t="shared" si="0"/>
        <v/>
      </c>
    </row>
    <row r="19" spans="3:3">
      <c r="C19" s="1" t="str">
        <f t="shared" si="0"/>
        <v/>
      </c>
    </row>
    <row r="20" spans="3:3">
      <c r="C20" s="1" t="str">
        <f t="shared" si="0"/>
        <v/>
      </c>
    </row>
    <row r="21" spans="3:3">
      <c r="C21" s="1" t="str">
        <f t="shared" si="0"/>
        <v/>
      </c>
    </row>
    <row r="22" spans="3:3">
      <c r="C22" s="1" t="str">
        <f t="shared" si="0"/>
        <v/>
      </c>
    </row>
    <row r="23" spans="3:3">
      <c r="C23" s="1" t="str">
        <f t="shared" si="0"/>
        <v/>
      </c>
    </row>
    <row r="24" spans="3:3">
      <c r="C24" s="1" t="str">
        <f t="shared" si="0"/>
        <v/>
      </c>
    </row>
    <row r="25" spans="3:3">
      <c r="C25" s="1" t="str">
        <f t="shared" si="0"/>
        <v/>
      </c>
    </row>
    <row r="26" spans="3:3">
      <c r="C26" s="1" t="str">
        <f t="shared" si="0"/>
        <v/>
      </c>
    </row>
    <row r="27" spans="3:3">
      <c r="C27" s="1" t="str">
        <f t="shared" si="0"/>
        <v/>
      </c>
    </row>
    <row r="28" spans="3:3">
      <c r="C28" s="1" t="str">
        <f t="shared" si="0"/>
        <v/>
      </c>
    </row>
    <row r="29" spans="3:3">
      <c r="C29" s="1" t="str">
        <f t="shared" si="0"/>
        <v/>
      </c>
    </row>
    <row r="30" spans="3:3">
      <c r="C30" s="1" t="str">
        <f t="shared" si="0"/>
        <v/>
      </c>
    </row>
    <row r="31" spans="3:3">
      <c r="C31" s="1" t="str">
        <f t="shared" si="0"/>
        <v/>
      </c>
    </row>
    <row r="32" spans="3:3">
      <c r="C32" s="1" t="str">
        <f t="shared" si="0"/>
        <v/>
      </c>
    </row>
    <row r="33" spans="3:3">
      <c r="C33" s="1" t="str">
        <f t="shared" si="0"/>
        <v/>
      </c>
    </row>
    <row r="34" spans="3:3">
      <c r="C34" s="1" t="str">
        <f t="shared" si="0"/>
        <v/>
      </c>
    </row>
    <row r="35" spans="3:3">
      <c r="C35" s="1" t="str">
        <f t="shared" si="0"/>
        <v/>
      </c>
    </row>
    <row r="36" spans="3:3">
      <c r="C36" s="1" t="str">
        <f t="shared" si="0"/>
        <v/>
      </c>
    </row>
    <row r="37" spans="3:3">
      <c r="C37" s="1" t="str">
        <f t="shared" si="0"/>
        <v/>
      </c>
    </row>
    <row r="38" spans="3:3">
      <c r="C38" s="1" t="str">
        <f t="shared" si="0"/>
        <v/>
      </c>
    </row>
    <row r="39" spans="3:3">
      <c r="C39" s="1" t="str">
        <f t="shared" si="0"/>
        <v/>
      </c>
    </row>
    <row r="40" spans="3:3">
      <c r="C40" s="1" t="str">
        <f t="shared" si="0"/>
        <v/>
      </c>
    </row>
    <row r="41" spans="3:3">
      <c r="C41" s="1" t="str">
        <f t="shared" si="0"/>
        <v/>
      </c>
    </row>
    <row r="42" spans="3:3">
      <c r="C42" s="1" t="str">
        <f t="shared" si="0"/>
        <v/>
      </c>
    </row>
    <row r="43" spans="3:3">
      <c r="C43" s="1" t="str">
        <f t="shared" si="0"/>
        <v/>
      </c>
    </row>
    <row r="44" spans="3:3">
      <c r="C44" s="1" t="str">
        <f t="shared" si="0"/>
        <v/>
      </c>
    </row>
    <row r="45" spans="3:3">
      <c r="C45" s="1" t="str">
        <f t="shared" si="0"/>
        <v/>
      </c>
    </row>
    <row r="46" spans="3:3">
      <c r="C46" s="1" t="str">
        <f t="shared" si="0"/>
        <v/>
      </c>
    </row>
    <row r="47" spans="3:3">
      <c r="C47" s="1" t="str">
        <f t="shared" si="0"/>
        <v/>
      </c>
    </row>
    <row r="48" spans="3:3">
      <c r="C48" s="1" t="str">
        <f t="shared" si="0"/>
        <v/>
      </c>
    </row>
    <row r="49" spans="3:3">
      <c r="C49" s="1" t="str">
        <f t="shared" si="0"/>
        <v/>
      </c>
    </row>
    <row r="50" spans="3:3">
      <c r="C50" s="1" t="str">
        <f t="shared" si="0"/>
        <v/>
      </c>
    </row>
    <row r="51" spans="3:3">
      <c r="C51" s="1" t="str">
        <f t="shared" si="0"/>
        <v/>
      </c>
    </row>
    <row r="52" spans="3:3">
      <c r="C52" s="1" t="str">
        <f t="shared" si="0"/>
        <v/>
      </c>
    </row>
    <row r="53" spans="3:3">
      <c r="C53" s="1" t="str">
        <f t="shared" si="0"/>
        <v/>
      </c>
    </row>
    <row r="54" spans="3:3">
      <c r="C54" s="1" t="str">
        <f t="shared" si="0"/>
        <v/>
      </c>
    </row>
    <row r="55" spans="3:3">
      <c r="C55" s="1" t="str">
        <f t="shared" si="0"/>
        <v/>
      </c>
    </row>
    <row r="56" spans="3:3">
      <c r="C56" s="1" t="str">
        <f t="shared" si="0"/>
        <v/>
      </c>
    </row>
    <row r="57" spans="3:3">
      <c r="C57" s="1" t="str">
        <f t="shared" si="0"/>
        <v/>
      </c>
    </row>
    <row r="58" spans="3:3">
      <c r="C58" s="1" t="str">
        <f t="shared" si="0"/>
        <v/>
      </c>
    </row>
    <row r="59" spans="3:3">
      <c r="C59" s="1" t="str">
        <f t="shared" si="0"/>
        <v/>
      </c>
    </row>
    <row r="60" spans="3:3">
      <c r="C60" s="1" t="str">
        <f t="shared" si="0"/>
        <v/>
      </c>
    </row>
    <row r="61" spans="3:3">
      <c r="C61" s="1" t="str">
        <f t="shared" si="0"/>
        <v/>
      </c>
    </row>
    <row r="62" spans="3:3">
      <c r="C62" s="1" t="str">
        <f t="shared" si="0"/>
        <v/>
      </c>
    </row>
    <row r="63" spans="3:3">
      <c r="C63" s="1" t="str">
        <f t="shared" si="0"/>
        <v/>
      </c>
    </row>
    <row r="64" spans="3:3">
      <c r="C64" s="1" t="str">
        <f t="shared" si="0"/>
        <v/>
      </c>
    </row>
    <row r="65" spans="3:3">
      <c r="C65" s="1" t="str">
        <f t="shared" si="0"/>
        <v/>
      </c>
    </row>
    <row r="66" spans="3:3">
      <c r="C66" s="1" t="str">
        <f t="shared" si="0"/>
        <v/>
      </c>
    </row>
    <row r="67" spans="3:3">
      <c r="C67" s="1" t="str">
        <f t="shared" si="0"/>
        <v/>
      </c>
    </row>
    <row r="68" spans="3:3">
      <c r="C68" s="1" t="str">
        <f t="shared" si="0"/>
        <v/>
      </c>
    </row>
    <row r="69" spans="3:3">
      <c r="C69" s="1" t="str">
        <f t="shared" si="0"/>
        <v/>
      </c>
    </row>
    <row r="70" spans="3:3">
      <c r="C70" s="1" t="str">
        <f t="shared" si="0"/>
        <v/>
      </c>
    </row>
    <row r="71" spans="3:3">
      <c r="C71" s="1" t="str">
        <f t="shared" ref="C71:C95" si="1">IF(AND(D71="",E71=""),"",ROW(C66))</f>
        <v/>
      </c>
    </row>
    <row r="72" spans="3:3">
      <c r="C72" s="1" t="str">
        <f t="shared" si="1"/>
        <v/>
      </c>
    </row>
    <row r="73" spans="3:3">
      <c r="C73" s="1" t="str">
        <f t="shared" si="1"/>
        <v/>
      </c>
    </row>
    <row r="74" spans="3:3">
      <c r="C74" s="1" t="str">
        <f t="shared" si="1"/>
        <v/>
      </c>
    </row>
    <row r="75" spans="3:3">
      <c r="C75" s="1" t="str">
        <f t="shared" si="1"/>
        <v/>
      </c>
    </row>
    <row r="76" spans="3:3">
      <c r="C76" s="1" t="str">
        <f t="shared" si="1"/>
        <v/>
      </c>
    </row>
    <row r="77" spans="3:3">
      <c r="C77" s="1" t="str">
        <f t="shared" si="1"/>
        <v/>
      </c>
    </row>
    <row r="78" spans="3:3">
      <c r="C78" s="1" t="str">
        <f t="shared" si="1"/>
        <v/>
      </c>
    </row>
    <row r="79" spans="3:3">
      <c r="C79" s="1" t="str">
        <f t="shared" si="1"/>
        <v/>
      </c>
    </row>
    <row r="80" spans="3:3">
      <c r="C80" s="1" t="str">
        <f t="shared" si="1"/>
        <v/>
      </c>
    </row>
    <row r="81" spans="3:3">
      <c r="C81" s="1" t="str">
        <f t="shared" si="1"/>
        <v/>
      </c>
    </row>
    <row r="82" spans="3:3">
      <c r="C82" s="1" t="str">
        <f t="shared" si="1"/>
        <v/>
      </c>
    </row>
    <row r="83" spans="3:3">
      <c r="C83" s="1" t="str">
        <f t="shared" si="1"/>
        <v/>
      </c>
    </row>
    <row r="84" spans="3:3">
      <c r="C84" s="1" t="str">
        <f t="shared" si="1"/>
        <v/>
      </c>
    </row>
    <row r="85" spans="3:3">
      <c r="C85" s="1" t="str">
        <f t="shared" si="1"/>
        <v/>
      </c>
    </row>
    <row r="86" spans="3:3">
      <c r="C86" s="1" t="str">
        <f t="shared" si="1"/>
        <v/>
      </c>
    </row>
    <row r="87" spans="3:3">
      <c r="C87" s="1" t="str">
        <f t="shared" si="1"/>
        <v/>
      </c>
    </row>
    <row r="88" spans="3:3">
      <c r="C88" s="1" t="str">
        <f t="shared" si="1"/>
        <v/>
      </c>
    </row>
    <row r="89" spans="3:3">
      <c r="C89" s="1" t="str">
        <f t="shared" si="1"/>
        <v/>
      </c>
    </row>
    <row r="90" spans="3:3">
      <c r="C90" s="1" t="str">
        <f t="shared" si="1"/>
        <v/>
      </c>
    </row>
    <row r="91" spans="3:3">
      <c r="C91" s="1" t="str">
        <f t="shared" si="1"/>
        <v/>
      </c>
    </row>
    <row r="92" spans="3:3">
      <c r="C92" s="1" t="str">
        <f t="shared" si="1"/>
        <v/>
      </c>
    </row>
    <row r="93" spans="3:3">
      <c r="C93" s="1" t="str">
        <f t="shared" si="1"/>
        <v/>
      </c>
    </row>
    <row r="94" spans="3:3">
      <c r="C94" s="1" t="str">
        <f t="shared" si="1"/>
        <v/>
      </c>
    </row>
    <row r="95" spans="3:3">
      <c r="C95" s="1" t="str">
        <f t="shared" si="1"/>
        <v/>
      </c>
    </row>
  </sheetData>
  <mergeCells count="3">
    <mergeCell ref="C4:C5"/>
    <mergeCell ref="D4:D5"/>
    <mergeCell ref="E4:E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5:F16"/>
  <sheetViews>
    <sheetView workbookViewId="0">
      <selection activeCell="E13" sqref="E13"/>
    </sheetView>
  </sheetViews>
  <sheetFormatPr defaultRowHeight="14.4"/>
  <cols>
    <col min="3" max="3" width="7.88671875" style="70" bestFit="1" customWidth="1"/>
    <col min="4" max="4" width="12.109375" style="74" bestFit="1" customWidth="1"/>
    <col min="5" max="5" width="23.5546875" bestFit="1" customWidth="1"/>
    <col min="6" max="6" width="17.77734375" bestFit="1" customWidth="1"/>
  </cols>
  <sheetData>
    <row r="5" spans="3:6">
      <c r="C5" s="70" t="s">
        <v>237</v>
      </c>
      <c r="D5" s="74" t="s">
        <v>276</v>
      </c>
      <c r="E5" t="s">
        <v>89</v>
      </c>
      <c r="F5" t="s">
        <v>267</v>
      </c>
    </row>
    <row r="6" spans="3:6">
      <c r="C6" s="70">
        <v>1</v>
      </c>
      <c r="D6" s="74" t="s">
        <v>253</v>
      </c>
      <c r="E6" t="s">
        <v>268</v>
      </c>
      <c r="F6" t="s">
        <v>90</v>
      </c>
    </row>
    <row r="7" spans="3:6">
      <c r="C7" s="70">
        <v>2</v>
      </c>
      <c r="D7" s="74" t="s">
        <v>255</v>
      </c>
      <c r="E7" t="s">
        <v>272</v>
      </c>
      <c r="F7" t="s">
        <v>91</v>
      </c>
    </row>
    <row r="8" spans="3:6">
      <c r="C8" s="70">
        <v>3</v>
      </c>
      <c r="D8" s="74" t="s">
        <v>256</v>
      </c>
      <c r="E8" t="s">
        <v>271</v>
      </c>
      <c r="F8" t="s">
        <v>93</v>
      </c>
    </row>
    <row r="9" spans="3:6">
      <c r="C9" s="70">
        <v>4</v>
      </c>
      <c r="D9" s="74" t="s">
        <v>257</v>
      </c>
      <c r="E9" t="s">
        <v>269</v>
      </c>
      <c r="F9" t="s">
        <v>92</v>
      </c>
    </row>
    <row r="10" spans="3:6">
      <c r="C10" s="70">
        <v>5</v>
      </c>
      <c r="D10" s="74" t="s">
        <v>259</v>
      </c>
      <c r="E10" t="s">
        <v>270</v>
      </c>
      <c r="F10" t="s">
        <v>273</v>
      </c>
    </row>
    <row r="11" spans="3:6">
      <c r="C11" s="1">
        <v>6</v>
      </c>
      <c r="D11" s="74" t="s">
        <v>261</v>
      </c>
      <c r="E11" s="2" t="s">
        <v>274</v>
      </c>
      <c r="F11" t="s">
        <v>275</v>
      </c>
    </row>
    <row r="12" spans="3:6">
      <c r="E12" s="2"/>
    </row>
    <row r="13" spans="3:6">
      <c r="E13" s="2"/>
    </row>
    <row r="14" spans="3:6">
      <c r="E14" s="2"/>
    </row>
    <row r="15" spans="3:6">
      <c r="E15" s="2"/>
    </row>
    <row r="16" spans="3:6">
      <c r="E16" s="2"/>
    </row>
  </sheetData>
  <conditionalFormatting sqref="D11:D1046">
    <cfRule type="duplicateValues" dxfId="18" priority="2"/>
    <cfRule type="duplicateValues" dxfId="17" priority="4"/>
    <cfRule type="duplicateValues" dxfId="16" priority="5"/>
  </conditionalFormatting>
  <conditionalFormatting sqref="D11:D1046 E11:E16">
    <cfRule type="duplicateValues" dxfId="15" priority="3"/>
  </conditionalFormatting>
  <conditionalFormatting sqref="E11:E16">
    <cfRule type="duplicateValues" dxfId="14" priority="1"/>
    <cfRule type="duplicateValues" dxfId="13" priority="6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4:E941"/>
  <sheetViews>
    <sheetView workbookViewId="0">
      <selection activeCell="D6" sqref="D6"/>
    </sheetView>
  </sheetViews>
  <sheetFormatPr defaultRowHeight="14.4"/>
  <cols>
    <col min="4" max="4" width="10.5546875" bestFit="1" customWidth="1"/>
    <col min="5" max="5" width="13.88671875" bestFit="1" customWidth="1"/>
  </cols>
  <sheetData>
    <row r="4" spans="3:5">
      <c r="C4" s="75" t="s">
        <v>4</v>
      </c>
      <c r="D4" s="75" t="s">
        <v>21</v>
      </c>
      <c r="E4" s="75" t="s">
        <v>10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t="str">
        <f>IF(E6="","",TEXT(IF(COUNTIF(E$6:E6,E6)&gt;=1,MATCH(E6,$E$6:$E$1000,0),COUNTA(UNIQUE(E$6:E6))),"0000"))</f>
        <v>0001</v>
      </c>
      <c r="E6" s="2" t="s">
        <v>6</v>
      </c>
    </row>
    <row r="7" spans="3:5">
      <c r="C7" s="1">
        <f t="shared" ref="C7:C70" si="0">IF(AND(D7="",E7=""),"",ROW(C2))</f>
        <v>2</v>
      </c>
      <c r="D7" t="str">
        <f>IF(E7="","",TEXT(IF(COUNTIF(E$6:E7,E7)&gt;=1,MATCH(E7,$E$6:$E$1000,0),COUNTA(UNIQUE(E$6:E7))),"0000"))</f>
        <v>0002</v>
      </c>
      <c r="E7" s="2" t="s">
        <v>7</v>
      </c>
    </row>
    <row r="8" spans="3:5">
      <c r="C8" s="1">
        <f t="shared" si="0"/>
        <v>3</v>
      </c>
      <c r="D8" t="str">
        <f>IF(E8="","",TEXT(IF(COUNTIF(E$6:E8,E8)&gt;=1,MATCH(E8,$E$6:$E$1000,0),COUNTA(UNIQUE(E$6:E8))),"0000"))</f>
        <v>0003</v>
      </c>
      <c r="E8" s="2" t="s">
        <v>8</v>
      </c>
    </row>
    <row r="9" spans="3:5">
      <c r="C9" s="1">
        <f t="shared" si="0"/>
        <v>4</v>
      </c>
      <c r="D9" t="str">
        <f>IF(E9="","",TEXT(IF(COUNTIF(E$6:E9,E9)&gt;=1,MATCH(E9,$E$6:$E$1000,0),COUNTA(UNIQUE(E$6:E9))),"0000"))</f>
        <v>0004</v>
      </c>
      <c r="E9" s="2" t="s">
        <v>22</v>
      </c>
    </row>
    <row r="10" spans="3:5">
      <c r="C10" s="1">
        <f t="shared" si="0"/>
        <v>5</v>
      </c>
      <c r="D10" t="str">
        <f>IF(E10="","",TEXT(IF(COUNTIF(E$6:E10,E10)&gt;=1,MATCH(E10,$E$6:$E$1000,0),COUNTA(UNIQUE(E$6:E10))),"0000"))</f>
        <v>0005</v>
      </c>
      <c r="E10" s="2" t="s">
        <v>14</v>
      </c>
    </row>
    <row r="11" spans="3:5">
      <c r="C11" s="1">
        <f t="shared" si="0"/>
        <v>6</v>
      </c>
      <c r="D11" t="str">
        <f>IF(E11="","",TEXT(IF(COUNTIF(E$6:E11,E11)&gt;=1,MATCH(E11,$E$6:$E$1000,0),COUNTA(UNIQUE(E$6:E11))),"0000"))</f>
        <v>0006</v>
      </c>
      <c r="E11" s="2" t="s">
        <v>9</v>
      </c>
    </row>
    <row r="12" spans="3:5">
      <c r="C12" s="1" t="str">
        <f t="shared" si="0"/>
        <v/>
      </c>
      <c r="D12" t="str">
        <f>IF(E12="","",TEXT(IF(COUNTIF(E$6:E12,E12)&gt;=1,MATCH(E12,$E$6:$E$1000,0),COUNTA(UNIQUE(E$6:E12))),"0000"))</f>
        <v/>
      </c>
    </row>
    <row r="13" spans="3:5">
      <c r="C13" s="1" t="str">
        <f t="shared" si="0"/>
        <v/>
      </c>
      <c r="D13" t="str">
        <f>IF(E13="","",TEXT(IF(COUNTIF(E$6:E13,E13)&gt;=1,MATCH(E13,$E$6:$E$1000,0),COUNTA(UNIQUE(E$6:E13))),"0000"))</f>
        <v/>
      </c>
    </row>
    <row r="14" spans="3:5">
      <c r="C14" s="1" t="str">
        <f t="shared" si="0"/>
        <v/>
      </c>
      <c r="D14" t="str">
        <f>IF(E14="","",TEXT(IF(COUNTIF(E$6:E14,E14)&gt;=1,MATCH(E14,$E$6:$E$1000,0),COUNTA(UNIQUE(E$6:E14))),"0000"))</f>
        <v/>
      </c>
    </row>
    <row r="15" spans="3:5">
      <c r="C15" s="1" t="str">
        <f t="shared" si="0"/>
        <v/>
      </c>
      <c r="D15" t="str">
        <f>IF(E15="","",TEXT(IF(COUNTIF(E$6:E15,E15)&gt;=1,MATCH(E15,$E$6:$E$1000,0),COUNTA(UNIQUE(E$6:E15))),"0000"))</f>
        <v/>
      </c>
    </row>
    <row r="16" spans="3:5">
      <c r="C16" s="1" t="str">
        <f t="shared" si="0"/>
        <v/>
      </c>
      <c r="D16" t="str">
        <f>IF(E16="","",TEXT(IF(COUNTIF(E$6:E16,E16)&gt;=1,MATCH(E16,$E$6:$E$1000,0),COUNTA(UNIQUE(E$6:E16))),"0000"))</f>
        <v/>
      </c>
    </row>
    <row r="17" spans="3:4">
      <c r="C17" s="1" t="str">
        <f t="shared" si="0"/>
        <v/>
      </c>
      <c r="D17" t="str">
        <f>IF(E17="","",TEXT(IF(COUNTIF(E$6:E17,E17)&gt;=1,MATCH(E17,$E$6:$E$1000,0),COUNTA(UNIQUE(E$6:E17))),"0000"))</f>
        <v/>
      </c>
    </row>
    <row r="18" spans="3:4">
      <c r="C18" s="1" t="str">
        <f t="shared" si="0"/>
        <v/>
      </c>
      <c r="D18" t="str">
        <f>IF(E18="","",TEXT(IF(COUNTIF(E$6:E18,E18)&gt;=1,MATCH(E18,$E$6:$E$1000,0),COUNTA(UNIQUE(E$6:E18))),"0000"))</f>
        <v/>
      </c>
    </row>
    <row r="19" spans="3:4">
      <c r="C19" s="1" t="str">
        <f t="shared" si="0"/>
        <v/>
      </c>
      <c r="D19" t="str">
        <f>IF(E19="","",TEXT(IF(COUNTIF(E$6:E19,E19)&gt;=1,MATCH(E19,$E$6:$E$1000,0),COUNTA(UNIQUE(E$6:E19))),"0000"))</f>
        <v/>
      </c>
    </row>
    <row r="20" spans="3:4">
      <c r="C20" s="1" t="str">
        <f t="shared" si="0"/>
        <v/>
      </c>
      <c r="D20" t="str">
        <f>IF(E20="","",TEXT(IF(COUNTIF(E$6:E20,E20)&gt;=1,MATCH(E20,$E$6:$E$1000,0),COUNTA(UNIQUE(E$6:E20))),"0000"))</f>
        <v/>
      </c>
    </row>
    <row r="21" spans="3:4">
      <c r="C21" s="1" t="str">
        <f t="shared" si="0"/>
        <v/>
      </c>
      <c r="D21" t="str">
        <f>IF(E21="","",TEXT(IF(COUNTIF(E$6:E21,E21)&gt;=1,MATCH(E21,$E$6:$E$1000,0),COUNTA(UNIQUE(E$6:E21))),"0000"))</f>
        <v/>
      </c>
    </row>
    <row r="22" spans="3:4">
      <c r="C22" s="1" t="str">
        <f t="shared" si="0"/>
        <v/>
      </c>
      <c r="D22" t="str">
        <f>IF(E22="","",TEXT(IF(COUNTIF(E$6:E22,E22)&gt;=1,MATCH(E22,$E$6:$E$1000,0),COUNTA(UNIQUE(E$6:E22))),"0000"))</f>
        <v/>
      </c>
    </row>
    <row r="23" spans="3:4">
      <c r="C23" s="1" t="str">
        <f t="shared" si="0"/>
        <v/>
      </c>
      <c r="D23" t="str">
        <f>IF(E23="","",TEXT(IF(COUNTIF(E$6:E23,E23)&gt;=1,MATCH(E23,$E$6:$E$1000,0),COUNTA(UNIQUE(E$6:E23))),"0000"))</f>
        <v/>
      </c>
    </row>
    <row r="24" spans="3:4">
      <c r="C24" s="1" t="str">
        <f t="shared" si="0"/>
        <v/>
      </c>
      <c r="D24" t="str">
        <f>IF(E24="","",TEXT(IF(COUNTIF(E$6:E24,E24)&gt;=1,MATCH(E24,$E$6:$E$1000,0),COUNTA(UNIQUE(E$6:E24))),"0000"))</f>
        <v/>
      </c>
    </row>
    <row r="25" spans="3:4">
      <c r="C25" s="1" t="str">
        <f t="shared" si="0"/>
        <v/>
      </c>
      <c r="D25" t="str">
        <f>IF(E25="","",TEXT(IF(COUNTIF(E$6:E25,E25)&gt;=1,MATCH(E25,$E$6:$E$1000,0),COUNTA(UNIQUE(E$6:E25))),"0000"))</f>
        <v/>
      </c>
    </row>
    <row r="26" spans="3:4">
      <c r="C26" s="1" t="str">
        <f t="shared" si="0"/>
        <v/>
      </c>
      <c r="D26" t="str">
        <f>IF(E26="","",TEXT(IF(COUNTIF(E$6:E26,E26)&gt;=1,MATCH(E26,$E$6:$E$1000,0),COUNTA(UNIQUE(E$6:E26))),"0000"))</f>
        <v/>
      </c>
    </row>
    <row r="27" spans="3:4">
      <c r="C27" s="1" t="str">
        <f t="shared" si="0"/>
        <v/>
      </c>
      <c r="D27" t="str">
        <f>IF(E27="","",TEXT(IF(COUNTIF(E$6:E27,E27)&gt;=1,MATCH(E27,$E$6:$E$1000,0),COUNTA(UNIQUE(E$6:E27))),"0000"))</f>
        <v/>
      </c>
    </row>
    <row r="28" spans="3:4">
      <c r="C28" s="1" t="str">
        <f t="shared" si="0"/>
        <v/>
      </c>
      <c r="D28" t="str">
        <f>IF(E28="","",TEXT(IF(COUNTIF(E$6:E28,E28)&gt;=1,MATCH(E28,$E$6:$E$1000,0),COUNTA(UNIQUE(E$6:E28))),"0000"))</f>
        <v/>
      </c>
    </row>
    <row r="29" spans="3:4">
      <c r="C29" s="1" t="str">
        <f t="shared" si="0"/>
        <v/>
      </c>
      <c r="D29" t="str">
        <f>IF(E29="","",TEXT(IF(COUNTIF(E$6:E29,E29)&gt;=1,MATCH(E29,$E$6:$E$1000,0),COUNTA(UNIQUE(E$6:E29))),"0000"))</f>
        <v/>
      </c>
    </row>
    <row r="30" spans="3:4">
      <c r="C30" s="1" t="str">
        <f t="shared" si="0"/>
        <v/>
      </c>
      <c r="D30" t="str">
        <f>IF(E30="","",TEXT(IF(COUNTIF(E$6:E30,E30)&gt;=1,MATCH(E30,$E$6:$E$1000,0),COUNTA(UNIQUE(E$6:E30))),"0000"))</f>
        <v/>
      </c>
    </row>
    <row r="31" spans="3:4">
      <c r="C31" s="1" t="str">
        <f t="shared" si="0"/>
        <v/>
      </c>
      <c r="D31" t="str">
        <f>IF(E31="","",TEXT(IF(COUNTIF(E$6:E31,E31)&gt;=1,MATCH(E31,$E$6:$E$1000,0),COUNTA(UNIQUE(E$6:E31))),"0000"))</f>
        <v/>
      </c>
    </row>
    <row r="32" spans="3:4">
      <c r="C32" s="1" t="str">
        <f t="shared" si="0"/>
        <v/>
      </c>
      <c r="D32" t="str">
        <f>IF(E32="","",TEXT(IF(COUNTIF(E$6:E32,E32)&gt;=1,MATCH(E32,$E$6:$E$1000,0),COUNTA(UNIQUE(E$6:E32))),"0000"))</f>
        <v/>
      </c>
    </row>
    <row r="33" spans="3:4">
      <c r="C33" s="1" t="str">
        <f t="shared" si="0"/>
        <v/>
      </c>
      <c r="D33" t="str">
        <f>IF(E33="","",TEXT(IF(COUNTIF(E$6:E33,E33)&gt;=1,MATCH(E33,$E$6:$E$1000,0),COUNTA(UNIQUE(E$6:E33))),"0000"))</f>
        <v/>
      </c>
    </row>
    <row r="34" spans="3:4">
      <c r="C34" s="1" t="str">
        <f t="shared" si="0"/>
        <v/>
      </c>
      <c r="D34" t="str">
        <f>IF(E34="","",TEXT(IF(COUNTIF(E$6:E34,E34)&gt;=1,MATCH(E34,$E$6:$E$1000,0),COUNTA(UNIQUE(E$6:E34))),"0000"))</f>
        <v/>
      </c>
    </row>
    <row r="35" spans="3:4">
      <c r="C35" s="1" t="str">
        <f t="shared" si="0"/>
        <v/>
      </c>
      <c r="D35" t="str">
        <f>IF(E35="","",TEXT(IF(COUNTIF(E$6:E35,E35)&gt;=1,MATCH(E35,$E$6:$E$1000,0),COUNTA(UNIQUE(E$6:E35))),"0000"))</f>
        <v/>
      </c>
    </row>
    <row r="36" spans="3:4">
      <c r="C36" s="1" t="str">
        <f t="shared" si="0"/>
        <v/>
      </c>
      <c r="D36" t="str">
        <f>IF(E36="","",TEXT(IF(COUNTIF(E$6:E36,E36)&gt;=1,MATCH(E36,$E$6:$E$1000,0),COUNTA(UNIQUE(E$6:E36))),"0000"))</f>
        <v/>
      </c>
    </row>
    <row r="37" spans="3:4">
      <c r="C37" s="1" t="str">
        <f t="shared" si="0"/>
        <v/>
      </c>
      <c r="D37" t="str">
        <f>IF(E37="","",TEXT(IF(COUNTIF(E$6:E37,E37)&gt;=1,MATCH(E37,$E$6:$E$1000,0),COUNTA(UNIQUE(E$6:E37))),"0000"))</f>
        <v/>
      </c>
    </row>
    <row r="38" spans="3:4">
      <c r="C38" s="1" t="str">
        <f t="shared" si="0"/>
        <v/>
      </c>
      <c r="D38" t="str">
        <f>IF(E38="","",TEXT(IF(COUNTIF(E$6:E38,E38)&gt;=1,MATCH(E38,$E$6:$E$1000,0),COUNTA(UNIQUE(E$6:E38))),"0000"))</f>
        <v/>
      </c>
    </row>
    <row r="39" spans="3:4">
      <c r="C39" s="1" t="str">
        <f t="shared" si="0"/>
        <v/>
      </c>
      <c r="D39" t="str">
        <f>IF(E39="","",TEXT(IF(COUNTIF(E$6:E39,E39)&gt;=1,MATCH(E39,$E$6:$E$1000,0),COUNTA(UNIQUE(E$6:E39))),"0000"))</f>
        <v/>
      </c>
    </row>
    <row r="40" spans="3:4">
      <c r="C40" s="1" t="str">
        <f t="shared" si="0"/>
        <v/>
      </c>
      <c r="D40" t="str">
        <f>IF(E40="","",TEXT(IF(COUNTIF(E$6:E40,E40)&gt;=1,MATCH(E40,$E$6:$E$1000,0),COUNTA(UNIQUE(E$6:E40))),"0000"))</f>
        <v/>
      </c>
    </row>
    <row r="41" spans="3:4">
      <c r="C41" s="1" t="str">
        <f t="shared" si="0"/>
        <v/>
      </c>
      <c r="D41" t="str">
        <f>IF(E41="","",TEXT(IF(COUNTIF(E$6:E41,E41)&gt;=1,MATCH(E41,$E$6:$E$1000,0),COUNTA(UNIQUE(E$6:E41))),"0000"))</f>
        <v/>
      </c>
    </row>
    <row r="42" spans="3:4">
      <c r="C42" s="1" t="str">
        <f t="shared" si="0"/>
        <v/>
      </c>
      <c r="D42" t="str">
        <f>IF(E42="","",TEXT(IF(COUNTIF(E$6:E42,E42)&gt;=1,MATCH(E42,$E$6:$E$1000,0),COUNTA(UNIQUE(E$6:E42))),"0000"))</f>
        <v/>
      </c>
    </row>
    <row r="43" spans="3:4">
      <c r="C43" s="1" t="str">
        <f t="shared" si="0"/>
        <v/>
      </c>
      <c r="D43" t="str">
        <f>IF(E43="","",TEXT(IF(COUNTIF(E$6:E43,E43)&gt;=1,MATCH(E43,$E$6:$E$1000,0),COUNTA(UNIQUE(E$6:E43))),"0000"))</f>
        <v/>
      </c>
    </row>
    <row r="44" spans="3:4">
      <c r="C44" s="1" t="str">
        <f t="shared" si="0"/>
        <v/>
      </c>
      <c r="D44" t="str">
        <f>IF(E44="","",TEXT(IF(COUNTIF(E$6:E44,E44)&gt;=1,MATCH(E44,$E$6:$E$1000,0),COUNTA(UNIQUE(E$6:E44))),"0000"))</f>
        <v/>
      </c>
    </row>
    <row r="45" spans="3:4">
      <c r="C45" s="1" t="str">
        <f t="shared" si="0"/>
        <v/>
      </c>
      <c r="D45" t="str">
        <f>IF(E45="","",TEXT(IF(COUNTIF(E$6:E45,E45)&gt;=1,MATCH(E45,$E$6:$E$1000,0),COUNTA(UNIQUE(E$6:E45))),"0000"))</f>
        <v/>
      </c>
    </row>
    <row r="46" spans="3:4">
      <c r="C46" s="1" t="str">
        <f t="shared" si="0"/>
        <v/>
      </c>
      <c r="D46" t="str">
        <f>IF(E46="","",TEXT(IF(COUNTIF(E$6:E46,E46)&gt;=1,MATCH(E46,$E$6:$E$1000,0),COUNTA(UNIQUE(E$6:E46))),"0000"))</f>
        <v/>
      </c>
    </row>
    <row r="47" spans="3:4">
      <c r="C47" s="1" t="str">
        <f t="shared" si="0"/>
        <v/>
      </c>
      <c r="D47" t="str">
        <f>IF(E47="","",TEXT(IF(COUNTIF(E$6:E47,E47)&gt;=1,MATCH(E47,$E$6:$E$1000,0),COUNTA(UNIQUE(E$6:E47))),"0000"))</f>
        <v/>
      </c>
    </row>
    <row r="48" spans="3:4">
      <c r="C48" s="1" t="str">
        <f t="shared" si="0"/>
        <v/>
      </c>
      <c r="D48" t="str">
        <f>IF(E48="","",TEXT(IF(COUNTIF(E$6:E48,E48)&gt;=1,MATCH(E48,$E$6:$E$1000,0),COUNTA(UNIQUE(E$6:E48))),"0000"))</f>
        <v/>
      </c>
    </row>
    <row r="49" spans="3:4">
      <c r="C49" s="1" t="str">
        <f t="shared" si="0"/>
        <v/>
      </c>
      <c r="D49" t="str">
        <f>IF(E49="","",TEXT(IF(COUNTIF(E$6:E49,E49)&gt;=1,MATCH(E49,$E$6:$E$1000,0),COUNTA(UNIQUE(E$6:E49))),"0000"))</f>
        <v/>
      </c>
    </row>
    <row r="50" spans="3:4">
      <c r="C50" s="1" t="str">
        <f t="shared" si="0"/>
        <v/>
      </c>
      <c r="D50" t="str">
        <f>IF(E50="","",TEXT(IF(COUNTIF(E$6:E50,E50)&gt;=1,MATCH(E50,$E$6:$E$1000,0),COUNTA(UNIQUE(E$6:E50))),"0000"))</f>
        <v/>
      </c>
    </row>
    <row r="51" spans="3:4">
      <c r="C51" s="1" t="str">
        <f t="shared" si="0"/>
        <v/>
      </c>
      <c r="D51" t="str">
        <f>IF(E51="","",TEXT(IF(COUNTIF(E$6:E51,E51)&gt;=1,MATCH(E51,$E$6:$E$1000,0),COUNTA(UNIQUE(E$6:E51))),"0000"))</f>
        <v/>
      </c>
    </row>
    <row r="52" spans="3:4">
      <c r="C52" s="1" t="str">
        <f t="shared" si="0"/>
        <v/>
      </c>
      <c r="D52" t="str">
        <f>IF(E52="","",TEXT(IF(COUNTIF(E$6:E52,E52)&gt;=1,MATCH(E52,$E$6:$E$1000,0),COUNTA(UNIQUE(E$6:E52))),"0000"))</f>
        <v/>
      </c>
    </row>
    <row r="53" spans="3:4">
      <c r="C53" s="1" t="str">
        <f t="shared" si="0"/>
        <v/>
      </c>
      <c r="D53" t="str">
        <f>IF(E53="","",TEXT(IF(COUNTIF(E$6:E53,E53)&gt;=1,MATCH(E53,$E$6:$E$1000,0),COUNTA(UNIQUE(E$6:E53))),"0000"))</f>
        <v/>
      </c>
    </row>
    <row r="54" spans="3:4">
      <c r="C54" s="1" t="str">
        <f t="shared" si="0"/>
        <v/>
      </c>
      <c r="D54" t="str">
        <f>IF(E54="","",TEXT(IF(COUNTIF(E$6:E54,E54)&gt;=1,MATCH(E54,$E$6:$E$1000,0),COUNTA(UNIQUE(E$6:E54))),"0000"))</f>
        <v/>
      </c>
    </row>
    <row r="55" spans="3:4">
      <c r="C55" s="1" t="str">
        <f t="shared" si="0"/>
        <v/>
      </c>
      <c r="D55" t="str">
        <f>IF(E55="","",TEXT(IF(COUNTIF(E$6:E55,E55)&gt;=1,MATCH(E55,$E$6:$E$1000,0),COUNTA(UNIQUE(E$6:E55))),"0000"))</f>
        <v/>
      </c>
    </row>
    <row r="56" spans="3:4">
      <c r="C56" s="1" t="str">
        <f t="shared" si="0"/>
        <v/>
      </c>
      <c r="D56" t="str">
        <f>IF(E56="","",TEXT(IF(COUNTIF(E$6:E56,E56)&gt;=1,MATCH(E56,$E$6:$E$1000,0),COUNTA(UNIQUE(E$6:E56))),"0000"))</f>
        <v/>
      </c>
    </row>
    <row r="57" spans="3:4">
      <c r="C57" s="1" t="str">
        <f t="shared" si="0"/>
        <v/>
      </c>
      <c r="D57" t="str">
        <f>IF(E57="","",TEXT(IF(COUNTIF(E$6:E57,E57)&gt;=1,MATCH(E57,$E$6:$E$1000,0),COUNTA(UNIQUE(E$6:E57))),"0000"))</f>
        <v/>
      </c>
    </row>
    <row r="58" spans="3:4">
      <c r="C58" s="1" t="str">
        <f t="shared" si="0"/>
        <v/>
      </c>
      <c r="D58" t="str">
        <f>IF(E58="","",TEXT(IF(COUNTIF(E$6:E58,E58)&gt;=1,MATCH(E58,$E$6:$E$1000,0),COUNTA(UNIQUE(E$6:E58))),"0000"))</f>
        <v/>
      </c>
    </row>
    <row r="59" spans="3:4">
      <c r="C59" s="1" t="str">
        <f t="shared" si="0"/>
        <v/>
      </c>
      <c r="D59" t="str">
        <f>IF(E59="","",TEXT(IF(COUNTIF(E$6:E59,E59)&gt;=1,MATCH(E59,$E$6:$E$1000,0),COUNTA(UNIQUE(E$6:E59))),"0000"))</f>
        <v/>
      </c>
    </row>
    <row r="60" spans="3:4">
      <c r="C60" s="1" t="str">
        <f t="shared" si="0"/>
        <v/>
      </c>
      <c r="D60" t="str">
        <f>IF(E60="","",TEXT(IF(COUNTIF(E$6:E60,E60)&gt;=1,MATCH(E60,$E$6:$E$1000,0),COUNTA(UNIQUE(E$6:E60))),"0000"))</f>
        <v/>
      </c>
    </row>
    <row r="61" spans="3:4">
      <c r="C61" s="1" t="str">
        <f t="shared" si="0"/>
        <v/>
      </c>
      <c r="D61" t="str">
        <f>IF(E61="","",TEXT(IF(COUNTIF(E$6:E61,E61)&gt;=1,MATCH(E61,$E$6:$E$1000,0),COUNTA(UNIQUE(E$6:E61))),"0000"))</f>
        <v/>
      </c>
    </row>
    <row r="62" spans="3:4">
      <c r="C62" s="1" t="str">
        <f t="shared" si="0"/>
        <v/>
      </c>
      <c r="D62" t="str">
        <f>IF(E62="","",TEXT(IF(COUNTIF(E$6:E62,E62)&gt;=1,MATCH(E62,$E$6:$E$1000,0),COUNTA(UNIQUE(E$6:E62))),"0000"))</f>
        <v/>
      </c>
    </row>
    <row r="63" spans="3:4">
      <c r="C63" s="1" t="str">
        <f t="shared" si="0"/>
        <v/>
      </c>
      <c r="D63" t="str">
        <f>IF(E63="","",TEXT(IF(COUNTIF(E$6:E63,E63)&gt;=1,MATCH(E63,$E$6:$E$1000,0),COUNTA(UNIQUE(E$6:E63))),"0000"))</f>
        <v/>
      </c>
    </row>
    <row r="64" spans="3:4">
      <c r="C64" s="1" t="str">
        <f t="shared" si="0"/>
        <v/>
      </c>
      <c r="D64" t="str">
        <f>IF(E64="","",TEXT(IF(COUNTIF(E$6:E64,E64)&gt;=1,MATCH(E64,$E$6:$E$1000,0),COUNTA(UNIQUE(E$6:E64))),"0000"))</f>
        <v/>
      </c>
    </row>
    <row r="65" spans="3:4">
      <c r="C65" s="1" t="str">
        <f t="shared" si="0"/>
        <v/>
      </c>
      <c r="D65" t="str">
        <f>IF(E65="","",TEXT(IF(COUNTIF(E$6:E65,E65)&gt;=1,MATCH(E65,$E$6:$E$1000,0),COUNTA(UNIQUE(E$6:E65))),"0000"))</f>
        <v/>
      </c>
    </row>
    <row r="66" spans="3:4">
      <c r="C66" s="1" t="str">
        <f t="shared" si="0"/>
        <v/>
      </c>
      <c r="D66" t="str">
        <f>IF(E66="","",TEXT(IF(COUNTIF(E$6:E66,E66)&gt;=1,MATCH(E66,$E$6:$E$1000,0),COUNTA(UNIQUE(E$6:E66))),"0000"))</f>
        <v/>
      </c>
    </row>
    <row r="67" spans="3:4">
      <c r="C67" s="1" t="str">
        <f t="shared" si="0"/>
        <v/>
      </c>
      <c r="D67" t="str">
        <f>IF(E67="","",TEXT(IF(COUNTIF(E$6:E67,E67)&gt;=1,MATCH(E67,$E$6:$E$1000,0),COUNTA(UNIQUE(E$6:E67))),"0000"))</f>
        <v/>
      </c>
    </row>
    <row r="68" spans="3:4">
      <c r="C68" s="1" t="str">
        <f t="shared" si="0"/>
        <v/>
      </c>
      <c r="D68" t="str">
        <f>IF(E68="","",TEXT(IF(COUNTIF(E$6:E68,E68)&gt;=1,MATCH(E68,$E$6:$E$1000,0),COUNTA(UNIQUE(E$6:E68))),"0000"))</f>
        <v/>
      </c>
    </row>
    <row r="69" spans="3:4">
      <c r="C69" s="1" t="str">
        <f t="shared" si="0"/>
        <v/>
      </c>
      <c r="D69" t="str">
        <f>IF(E69="","",TEXT(IF(COUNTIF(E$6:E69,E69)&gt;=1,MATCH(E69,$E$6:$E$1000,0),COUNTA(UNIQUE(E$6:E69))),"0000"))</f>
        <v/>
      </c>
    </row>
    <row r="70" spans="3:4">
      <c r="C70" s="1" t="str">
        <f t="shared" si="0"/>
        <v/>
      </c>
      <c r="D70" t="str">
        <f>IF(E70="","",TEXT(IF(COUNTIF(E$6:E70,E70)&gt;=1,MATCH(E70,$E$6:$E$1000,0),COUNTA(UNIQUE(E$6:E70))),"0000"))</f>
        <v/>
      </c>
    </row>
    <row r="71" spans="3:4">
      <c r="C71" s="1" t="str">
        <f t="shared" ref="C71:C134" si="1">IF(AND(D71="",E71=""),"",ROW(C66))</f>
        <v/>
      </c>
      <c r="D71" t="str">
        <f>IF(E71="","",TEXT(IF(COUNTIF(E$6:E71,E71)&gt;=1,MATCH(E71,$E$6:$E$1000,0),COUNTA(UNIQUE(E$6:E71))),"0000"))</f>
        <v/>
      </c>
    </row>
    <row r="72" spans="3:4">
      <c r="C72" s="1" t="str">
        <f t="shared" si="1"/>
        <v/>
      </c>
      <c r="D72" t="str">
        <f>IF(E72="","",TEXT(IF(COUNTIF(E$6:E72,E72)&gt;=1,MATCH(E72,$E$6:$E$1000,0),COUNTA(UNIQUE(E$6:E72))),"0000"))</f>
        <v/>
      </c>
    </row>
    <row r="73" spans="3:4">
      <c r="C73" s="1" t="str">
        <f t="shared" si="1"/>
        <v/>
      </c>
      <c r="D73" t="str">
        <f>IF(E73="","",TEXT(IF(COUNTIF(E$6:E73,E73)&gt;=1,MATCH(E73,$E$6:$E$1000,0),COUNTA(UNIQUE(E$6:E73))),"0000"))</f>
        <v/>
      </c>
    </row>
    <row r="74" spans="3:4">
      <c r="C74" s="1" t="str">
        <f t="shared" si="1"/>
        <v/>
      </c>
      <c r="D74" t="str">
        <f>IF(E74="","",TEXT(IF(COUNTIF(E$6:E74,E74)&gt;=1,MATCH(E74,$E$6:$E$1000,0),COUNTA(UNIQUE(E$6:E74))),"0000"))</f>
        <v/>
      </c>
    </row>
    <row r="75" spans="3:4">
      <c r="C75" s="1" t="str">
        <f t="shared" si="1"/>
        <v/>
      </c>
      <c r="D75" t="str">
        <f>IF(E75="","",TEXT(IF(COUNTIF(E$6:E75,E75)&gt;=1,MATCH(E75,$E$6:$E$1000,0),COUNTA(UNIQUE(E$6:E75))),"0000"))</f>
        <v/>
      </c>
    </row>
    <row r="76" spans="3:4">
      <c r="C76" s="1" t="str">
        <f t="shared" si="1"/>
        <v/>
      </c>
      <c r="D76" t="str">
        <f>IF(E76="","",TEXT(IF(COUNTIF(E$6:E76,E76)&gt;=1,MATCH(E76,$E$6:$E$1000,0),COUNTA(UNIQUE(E$6:E76))),"0000"))</f>
        <v/>
      </c>
    </row>
    <row r="77" spans="3:4">
      <c r="C77" s="1" t="str">
        <f t="shared" si="1"/>
        <v/>
      </c>
      <c r="D77" t="str">
        <f>IF(E77="","",TEXT(IF(COUNTIF(E$6:E77,E77)&gt;=1,MATCH(E77,$E$6:$E$1000,0),COUNTA(UNIQUE(E$6:E77))),"0000"))</f>
        <v/>
      </c>
    </row>
    <row r="78" spans="3:4">
      <c r="C78" s="1" t="str">
        <f t="shared" si="1"/>
        <v/>
      </c>
      <c r="D78" t="str">
        <f>IF(E78="","",TEXT(IF(COUNTIF(E$6:E78,E78)&gt;=1,MATCH(E78,$E$6:$E$1000,0),COUNTA(UNIQUE(E$6:E78))),"0000"))</f>
        <v/>
      </c>
    </row>
    <row r="79" spans="3:4">
      <c r="C79" s="1" t="str">
        <f t="shared" si="1"/>
        <v/>
      </c>
      <c r="D79" t="str">
        <f>IF(E79="","",TEXT(IF(COUNTIF(E$6:E79,E79)&gt;=1,MATCH(E79,$E$6:$E$1000,0),COUNTA(UNIQUE(E$6:E79))),"0000"))</f>
        <v/>
      </c>
    </row>
    <row r="80" spans="3:4">
      <c r="C80" s="1" t="str">
        <f t="shared" si="1"/>
        <v/>
      </c>
      <c r="D80" t="str">
        <f>IF(E80="","",TEXT(IF(COUNTIF(E$6:E80,E80)&gt;=1,MATCH(E80,$E$6:$E$1000,0),COUNTA(UNIQUE(E$6:E80))),"0000"))</f>
        <v/>
      </c>
    </row>
    <row r="81" spans="3:4">
      <c r="C81" s="1" t="str">
        <f t="shared" si="1"/>
        <v/>
      </c>
      <c r="D81" t="str">
        <f>IF(E81="","",TEXT(IF(COUNTIF(E$6:E81,E81)&gt;=1,MATCH(E81,$E$6:$E$1000,0),COUNTA(UNIQUE(E$6:E81))),"0000"))</f>
        <v/>
      </c>
    </row>
    <row r="82" spans="3:4">
      <c r="C82" s="1" t="str">
        <f t="shared" si="1"/>
        <v/>
      </c>
      <c r="D82" t="str">
        <f>IF(E82="","",TEXT(IF(COUNTIF(E$6:E82,E82)&gt;=1,MATCH(E82,$E$6:$E$1000,0),COUNTA(UNIQUE(E$6:E82))),"0000"))</f>
        <v/>
      </c>
    </row>
    <row r="83" spans="3:4">
      <c r="C83" s="1" t="str">
        <f t="shared" si="1"/>
        <v/>
      </c>
      <c r="D83" t="str">
        <f>IF(E83="","",TEXT(IF(COUNTIF(E$6:E83,E83)&gt;=1,MATCH(E83,$E$6:$E$1000,0),COUNTA(UNIQUE(E$6:E83))),"0000"))</f>
        <v/>
      </c>
    </row>
    <row r="84" spans="3:4">
      <c r="C84" s="1" t="str">
        <f t="shared" si="1"/>
        <v/>
      </c>
      <c r="D84" t="str">
        <f>IF(E84="","",TEXT(IF(COUNTIF(E$6:E84,E84)&gt;=1,MATCH(E84,$E$6:$E$1000,0),COUNTA(UNIQUE(E$6:E84))),"0000"))</f>
        <v/>
      </c>
    </row>
    <row r="85" spans="3:4">
      <c r="C85" s="1" t="str">
        <f t="shared" si="1"/>
        <v/>
      </c>
      <c r="D85" t="str">
        <f>IF(E85="","",TEXT(IF(COUNTIF(E$6:E85,E85)&gt;=1,MATCH(E85,$E$6:$E$1000,0),COUNTA(UNIQUE(E$6:E85))),"0000"))</f>
        <v/>
      </c>
    </row>
    <row r="86" spans="3:4">
      <c r="C86" s="1" t="str">
        <f t="shared" si="1"/>
        <v/>
      </c>
      <c r="D86" t="str">
        <f>IF(E86="","",TEXT(IF(COUNTIF(E$6:E86,E86)&gt;=1,MATCH(E86,$E$6:$E$1000,0),COUNTA(UNIQUE(E$6:E86))),"0000"))</f>
        <v/>
      </c>
    </row>
    <row r="87" spans="3:4">
      <c r="C87" s="1" t="str">
        <f t="shared" si="1"/>
        <v/>
      </c>
      <c r="D87" t="str">
        <f>IF(E87="","",TEXT(IF(COUNTIF(E$6:E87,E87)&gt;=1,MATCH(E87,$E$6:$E$1000,0),COUNTA(UNIQUE(E$6:E87))),"0000"))</f>
        <v/>
      </c>
    </row>
    <row r="88" spans="3:4">
      <c r="C88" s="1" t="str">
        <f t="shared" si="1"/>
        <v/>
      </c>
      <c r="D88" t="str">
        <f>IF(E88="","",TEXT(IF(COUNTIF(E$6:E88,E88)&gt;=1,MATCH(E88,$E$6:$E$1000,0),COUNTA(UNIQUE(E$6:E88))),"0000"))</f>
        <v/>
      </c>
    </row>
    <row r="89" spans="3:4">
      <c r="C89" s="1" t="str">
        <f t="shared" si="1"/>
        <v/>
      </c>
      <c r="D89" t="str">
        <f>IF(E89="","",TEXT(IF(COUNTIF(E$6:E89,E89)&gt;=1,MATCH(E89,$E$6:$E$1000,0),COUNTA(UNIQUE(E$6:E89))),"0000"))</f>
        <v/>
      </c>
    </row>
    <row r="90" spans="3:4">
      <c r="C90" s="1" t="str">
        <f t="shared" si="1"/>
        <v/>
      </c>
      <c r="D90" t="str">
        <f>IF(E90="","",TEXT(IF(COUNTIF(E$6:E90,E90)&gt;=1,MATCH(E90,$E$6:$E$1000,0),COUNTA(UNIQUE(E$6:E90))),"0000"))</f>
        <v/>
      </c>
    </row>
    <row r="91" spans="3:4">
      <c r="C91" s="1" t="str">
        <f t="shared" si="1"/>
        <v/>
      </c>
      <c r="D91" t="str">
        <f>IF(E91="","",TEXT(IF(COUNTIF(E$6:E91,E91)&gt;=1,MATCH(E91,$E$6:$E$1000,0),COUNTA(UNIQUE(E$6:E91))),"0000"))</f>
        <v/>
      </c>
    </row>
    <row r="92" spans="3:4">
      <c r="C92" s="1" t="str">
        <f t="shared" si="1"/>
        <v/>
      </c>
      <c r="D92" t="str">
        <f>IF(E92="","",TEXT(IF(COUNTIF(E$6:E92,E92)&gt;=1,MATCH(E92,$E$6:$E$1000,0),COUNTA(UNIQUE(E$6:E92))),"0000"))</f>
        <v/>
      </c>
    </row>
    <row r="93" spans="3:4">
      <c r="C93" s="1" t="str">
        <f t="shared" si="1"/>
        <v/>
      </c>
      <c r="D93" t="str">
        <f>IF(E93="","",TEXT(IF(COUNTIF(E$6:E93,E93)&gt;=1,MATCH(E93,$E$6:$E$1000,0),COUNTA(UNIQUE(E$6:E93))),"0000"))</f>
        <v/>
      </c>
    </row>
    <row r="94" spans="3:4">
      <c r="C94" s="1" t="str">
        <f t="shared" si="1"/>
        <v/>
      </c>
      <c r="D94" t="str">
        <f>IF(E94="","",TEXT(IF(COUNTIF(E$6:E94,E94)&gt;=1,MATCH(E94,$E$6:$E$1000,0),COUNTA(UNIQUE(E$6:E94))),"0000"))</f>
        <v/>
      </c>
    </row>
    <row r="95" spans="3:4">
      <c r="C95" s="1" t="str">
        <f t="shared" si="1"/>
        <v/>
      </c>
      <c r="D95" t="str">
        <f>IF(E95="","",TEXT(IF(COUNTIF(E$6:E95,E95)&gt;=1,MATCH(E95,$E$6:$E$1000,0),COUNTA(UNIQUE(E$6:E95))),"0000"))</f>
        <v/>
      </c>
    </row>
    <row r="96" spans="3:4">
      <c r="C96" s="1" t="str">
        <f t="shared" si="1"/>
        <v/>
      </c>
      <c r="D96" t="str">
        <f>IF(E96="","",TEXT(IF(COUNTIF(E$6:E96,E96)&gt;=1,MATCH(E96,$E$6:$E$1000,0),COUNTA(UNIQUE(E$6:E96))),"0000"))</f>
        <v/>
      </c>
    </row>
    <row r="97" spans="3:4">
      <c r="C97" s="1" t="str">
        <f t="shared" si="1"/>
        <v/>
      </c>
      <c r="D97" t="str">
        <f>IF(E97="","",TEXT(IF(COUNTIF(E$6:E97,E97)&gt;=1,MATCH(E97,$E$6:$E$1000,0),COUNTA(UNIQUE(E$6:E97))),"0000"))</f>
        <v/>
      </c>
    </row>
    <row r="98" spans="3:4">
      <c r="C98" s="1" t="str">
        <f t="shared" si="1"/>
        <v/>
      </c>
      <c r="D98" t="str">
        <f>IF(E98="","",TEXT(IF(COUNTIF(E$6:E98,E98)&gt;=1,MATCH(E98,$E$6:$E$1000,0),COUNTA(UNIQUE(E$6:E98))),"0000"))</f>
        <v/>
      </c>
    </row>
    <row r="99" spans="3:4">
      <c r="C99" s="1" t="str">
        <f t="shared" si="1"/>
        <v/>
      </c>
      <c r="D99" t="str">
        <f>IF(E99="","",TEXT(IF(COUNTIF(E$6:E99,E99)&gt;=1,MATCH(E99,$E$6:$E$1000,0),COUNTA(UNIQUE(E$6:E99))),"0000"))</f>
        <v/>
      </c>
    </row>
    <row r="100" spans="3:4">
      <c r="C100" s="1" t="str">
        <f t="shared" si="1"/>
        <v/>
      </c>
      <c r="D100" t="str">
        <f>IF(E100="","",TEXT(IF(COUNTIF(E$6:E100,E100)&gt;=1,MATCH(E100,$E$6:$E$1000,0),COUNTA(UNIQUE(E$6:E100))),"0000"))</f>
        <v/>
      </c>
    </row>
    <row r="101" spans="3:4">
      <c r="C101" s="1" t="str">
        <f t="shared" si="1"/>
        <v/>
      </c>
      <c r="D101" t="str">
        <f>IF(E101="","",TEXT(IF(COUNTIF(E$6:E101,E101)&gt;=1,MATCH(E101,$E$6:$E$1000,0),COUNTA(UNIQUE(E$6:E101))),"0000"))</f>
        <v/>
      </c>
    </row>
    <row r="102" spans="3:4">
      <c r="C102" s="1" t="str">
        <f t="shared" si="1"/>
        <v/>
      </c>
      <c r="D102" t="str">
        <f>IF(E102="","",TEXT(IF(COUNTIF(E$6:E102,E102)&gt;=1,MATCH(E102,$E$6:$E$1000,0),COUNTA(UNIQUE(E$6:E102))),"0000"))</f>
        <v/>
      </c>
    </row>
    <row r="103" spans="3:4">
      <c r="C103" s="1" t="str">
        <f t="shared" si="1"/>
        <v/>
      </c>
      <c r="D103" t="str">
        <f>IF(E103="","",TEXT(IF(COUNTIF(E$6:E103,E103)&gt;=1,MATCH(E103,$E$6:$E$1000,0),COUNTA(UNIQUE(E$6:E103))),"0000"))</f>
        <v/>
      </c>
    </row>
    <row r="104" spans="3:4">
      <c r="C104" s="1" t="str">
        <f t="shared" si="1"/>
        <v/>
      </c>
      <c r="D104" t="str">
        <f>IF(E104="","",TEXT(IF(COUNTIF(E$6:E104,E104)&gt;=1,MATCH(E104,$E$6:$E$1000,0),COUNTA(UNIQUE(E$6:E104))),"0000"))</f>
        <v/>
      </c>
    </row>
    <row r="105" spans="3:4">
      <c r="C105" s="1" t="str">
        <f t="shared" si="1"/>
        <v/>
      </c>
      <c r="D105" t="str">
        <f>IF(E105="","",TEXT(IF(COUNTIF(E$6:E105,E105)&gt;=1,MATCH(E105,$E$6:$E$1000,0),COUNTA(UNIQUE(E$6:E105))),"0000"))</f>
        <v/>
      </c>
    </row>
    <row r="106" spans="3:4">
      <c r="C106" s="1" t="str">
        <f t="shared" si="1"/>
        <v/>
      </c>
      <c r="D106" t="str">
        <f>IF(E106="","",TEXT(IF(COUNTIF(E$6:E106,E106)&gt;=1,MATCH(E106,$E$6:$E$1000,0),COUNTA(UNIQUE(E$6:E106))),"0000"))</f>
        <v/>
      </c>
    </row>
    <row r="107" spans="3:4">
      <c r="C107" s="1" t="str">
        <f t="shared" si="1"/>
        <v/>
      </c>
      <c r="D107" t="str">
        <f>IF(E107="","",TEXT(IF(COUNTIF(E$6:E107,E107)&gt;=1,MATCH(E107,$E$6:$E$1000,0),COUNTA(UNIQUE(E$6:E107))),"0000"))</f>
        <v/>
      </c>
    </row>
    <row r="108" spans="3:4">
      <c r="C108" s="1" t="str">
        <f t="shared" si="1"/>
        <v/>
      </c>
      <c r="D108" t="str">
        <f>IF(E108="","",TEXT(IF(COUNTIF(E$6:E108,E108)&gt;=1,MATCH(E108,$E$6:$E$1000,0),COUNTA(UNIQUE(E$6:E108))),"0000"))</f>
        <v/>
      </c>
    </row>
    <row r="109" spans="3:4">
      <c r="C109" s="1" t="str">
        <f t="shared" si="1"/>
        <v/>
      </c>
      <c r="D109" t="str">
        <f>IF(E109="","",TEXT(IF(COUNTIF(E$6:E109,E109)&gt;=1,MATCH(E109,$E$6:$E$1000,0),COUNTA(UNIQUE(E$6:E109))),"0000"))</f>
        <v/>
      </c>
    </row>
    <row r="110" spans="3:4">
      <c r="C110" s="1" t="str">
        <f t="shared" si="1"/>
        <v/>
      </c>
      <c r="D110" t="str">
        <f>IF(E110="","",TEXT(IF(COUNTIF(E$6:E110,E110)&gt;=1,MATCH(E110,$E$6:$E$1000,0),COUNTA(UNIQUE(E$6:E110))),"0000"))</f>
        <v/>
      </c>
    </row>
    <row r="111" spans="3:4">
      <c r="C111" s="1" t="str">
        <f t="shared" si="1"/>
        <v/>
      </c>
      <c r="D111" t="str">
        <f>IF(E111="","",TEXT(IF(COUNTIF(E$6:E111,E111)&gt;=1,MATCH(E111,$E$6:$E$1000,0),COUNTA(UNIQUE(E$6:E111))),"0000"))</f>
        <v/>
      </c>
    </row>
    <row r="112" spans="3:4">
      <c r="C112" s="1" t="str">
        <f t="shared" si="1"/>
        <v/>
      </c>
      <c r="D112" t="str">
        <f>IF(E112="","",TEXT(IF(COUNTIF(E$6:E112,E112)&gt;=1,MATCH(E112,$E$6:$E$1000,0),COUNTA(UNIQUE(E$6:E112))),"0000"))</f>
        <v/>
      </c>
    </row>
    <row r="113" spans="3:4">
      <c r="C113" s="1" t="str">
        <f t="shared" si="1"/>
        <v/>
      </c>
      <c r="D113" t="str">
        <f>IF(E113="","",TEXT(IF(COUNTIF(E$6:E113,E113)&gt;=1,MATCH(E113,$E$6:$E$1000,0),COUNTA(UNIQUE(E$6:E113))),"0000"))</f>
        <v/>
      </c>
    </row>
    <row r="114" spans="3:4">
      <c r="C114" s="1" t="str">
        <f t="shared" si="1"/>
        <v/>
      </c>
      <c r="D114" t="str">
        <f>IF(E114="","",TEXT(IF(COUNTIF(E$6:E114,E114)&gt;=1,MATCH(E114,$E$6:$E$1000,0),COUNTA(UNIQUE(E$6:E114))),"0000"))</f>
        <v/>
      </c>
    </row>
    <row r="115" spans="3:4">
      <c r="C115" s="1" t="str">
        <f t="shared" si="1"/>
        <v/>
      </c>
      <c r="D115" t="str">
        <f>IF(E115="","",TEXT(IF(COUNTIF(E$6:E115,E115)&gt;=1,MATCH(E115,$E$6:$E$1000,0),COUNTA(UNIQUE(E$6:E115))),"0000"))</f>
        <v/>
      </c>
    </row>
    <row r="116" spans="3:4">
      <c r="C116" s="1" t="str">
        <f t="shared" si="1"/>
        <v/>
      </c>
      <c r="D116" t="str">
        <f>IF(E116="","",TEXT(IF(COUNTIF(E$6:E116,E116)&gt;=1,MATCH(E116,$E$6:$E$1000,0),COUNTA(UNIQUE(E$6:E116))),"0000"))</f>
        <v/>
      </c>
    </row>
    <row r="117" spans="3:4">
      <c r="C117" s="1" t="str">
        <f t="shared" si="1"/>
        <v/>
      </c>
      <c r="D117" t="str">
        <f>IF(E117="","",TEXT(IF(COUNTIF(E$6:E117,E117)&gt;=1,MATCH(E117,$E$6:$E$1000,0),COUNTA(UNIQUE(E$6:E117))),"0000"))</f>
        <v/>
      </c>
    </row>
    <row r="118" spans="3:4">
      <c r="C118" s="1" t="str">
        <f t="shared" si="1"/>
        <v/>
      </c>
      <c r="D118" t="str">
        <f>IF(E118="","",TEXT(IF(COUNTIF(E$6:E118,E118)&gt;=1,MATCH(E118,$E$6:$E$1000,0),COUNTA(UNIQUE(E$6:E118))),"0000"))</f>
        <v/>
      </c>
    </row>
    <row r="119" spans="3:4">
      <c r="C119" s="1" t="str">
        <f t="shared" si="1"/>
        <v/>
      </c>
      <c r="D119" t="str">
        <f>IF(E119="","",TEXT(IF(COUNTIF(E$6:E119,E119)&gt;=1,MATCH(E119,$E$6:$E$1000,0),COUNTA(UNIQUE(E$6:E119))),"0000"))</f>
        <v/>
      </c>
    </row>
    <row r="120" spans="3:4">
      <c r="C120" s="1" t="str">
        <f t="shared" si="1"/>
        <v/>
      </c>
      <c r="D120" t="str">
        <f>IF(E120="","",TEXT(IF(COUNTIF(E$6:E120,E120)&gt;=1,MATCH(E120,$E$6:$E$1000,0),COUNTA(UNIQUE(E$6:E120))),"0000"))</f>
        <v/>
      </c>
    </row>
    <row r="121" spans="3:4">
      <c r="C121" s="1" t="str">
        <f t="shared" si="1"/>
        <v/>
      </c>
      <c r="D121" t="str">
        <f>IF(E121="","",TEXT(IF(COUNTIF(E$6:E121,E121)&gt;=1,MATCH(E121,$E$6:$E$1000,0),COUNTA(UNIQUE(E$6:E121))),"0000"))</f>
        <v/>
      </c>
    </row>
    <row r="122" spans="3:4">
      <c r="C122" s="1" t="str">
        <f t="shared" si="1"/>
        <v/>
      </c>
      <c r="D122" t="str">
        <f>IF(E122="","",TEXT(IF(COUNTIF(E$6:E122,E122)&gt;=1,MATCH(E122,$E$6:$E$1000,0),COUNTA(UNIQUE(E$6:E122))),"0000"))</f>
        <v/>
      </c>
    </row>
    <row r="123" spans="3:4">
      <c r="C123" s="1" t="str">
        <f t="shared" si="1"/>
        <v/>
      </c>
      <c r="D123" t="str">
        <f>IF(E123="","",TEXT(IF(COUNTIF(E$6:E123,E123)&gt;=1,MATCH(E123,$E$6:$E$1000,0),COUNTA(UNIQUE(E$6:E123))),"0000"))</f>
        <v/>
      </c>
    </row>
    <row r="124" spans="3:4">
      <c r="C124" s="1" t="str">
        <f t="shared" si="1"/>
        <v/>
      </c>
      <c r="D124" t="str">
        <f>IF(E124="","",TEXT(IF(COUNTIF(E$6:E124,E124)&gt;=1,MATCH(E124,$E$6:$E$1000,0),COUNTA(UNIQUE(E$6:E124))),"0000"))</f>
        <v/>
      </c>
    </row>
    <row r="125" spans="3:4">
      <c r="C125" s="1" t="str">
        <f t="shared" si="1"/>
        <v/>
      </c>
      <c r="D125" t="str">
        <f>IF(E125="","",TEXT(IF(COUNTIF(E$6:E125,E125)&gt;=1,MATCH(E125,$E$6:$E$1000,0),COUNTA(UNIQUE(E$6:E125))),"0000"))</f>
        <v/>
      </c>
    </row>
    <row r="126" spans="3:4">
      <c r="C126" s="1" t="str">
        <f t="shared" si="1"/>
        <v/>
      </c>
      <c r="D126" t="str">
        <f>IF(E126="","",TEXT(IF(COUNTIF(E$6:E126,E126)&gt;=1,MATCH(E126,$E$6:$E$1000,0),COUNTA(UNIQUE(E$6:E126))),"0000"))</f>
        <v/>
      </c>
    </row>
    <row r="127" spans="3:4">
      <c r="C127" s="1" t="str">
        <f t="shared" si="1"/>
        <v/>
      </c>
      <c r="D127" t="str">
        <f>IF(E127="","",TEXT(IF(COUNTIF(E$6:E127,E127)&gt;=1,MATCH(E127,$E$6:$E$1000,0),COUNTA(UNIQUE(E$6:E127))),"0000"))</f>
        <v/>
      </c>
    </row>
    <row r="128" spans="3:4">
      <c r="C128" s="1" t="str">
        <f t="shared" si="1"/>
        <v/>
      </c>
      <c r="D128" t="str">
        <f>IF(E128="","",TEXT(IF(COUNTIF(E$6:E128,E128)&gt;=1,MATCH(E128,$E$6:$E$1000,0),COUNTA(UNIQUE(E$6:E128))),"0000"))</f>
        <v/>
      </c>
    </row>
    <row r="129" spans="3:4">
      <c r="C129" s="1" t="str">
        <f t="shared" si="1"/>
        <v/>
      </c>
      <c r="D129" t="str">
        <f>IF(E129="","",TEXT(IF(COUNTIF(E$6:E129,E129)&gt;=1,MATCH(E129,$E$6:$E$1000,0),COUNTA(UNIQUE(E$6:E129))),"0000"))</f>
        <v/>
      </c>
    </row>
    <row r="130" spans="3:4">
      <c r="C130" s="1" t="str">
        <f t="shared" si="1"/>
        <v/>
      </c>
      <c r="D130" t="str">
        <f>IF(E130="","",TEXT(IF(COUNTIF(E$6:E130,E130)&gt;=1,MATCH(E130,$E$6:$E$1000,0),COUNTA(UNIQUE(E$6:E130))),"0000"))</f>
        <v/>
      </c>
    </row>
    <row r="131" spans="3:4">
      <c r="C131" s="1" t="str">
        <f t="shared" si="1"/>
        <v/>
      </c>
      <c r="D131" t="str">
        <f>IF(E131="","",TEXT(IF(COUNTIF(E$6:E131,E131)&gt;=1,MATCH(E131,$E$6:$E$1000,0),COUNTA(UNIQUE(E$6:E131))),"0000"))</f>
        <v/>
      </c>
    </row>
    <row r="132" spans="3:4">
      <c r="C132" s="1" t="str">
        <f t="shared" si="1"/>
        <v/>
      </c>
      <c r="D132" t="str">
        <f>IF(E132="","",TEXT(IF(COUNTIF(E$6:E132,E132)&gt;=1,MATCH(E132,$E$6:$E$1000,0),COUNTA(UNIQUE(E$6:E132))),"0000"))</f>
        <v/>
      </c>
    </row>
    <row r="133" spans="3:4">
      <c r="C133" s="1" t="str">
        <f t="shared" si="1"/>
        <v/>
      </c>
      <c r="D133" t="str">
        <f>IF(E133="","",TEXT(IF(COUNTIF(E$6:E133,E133)&gt;=1,MATCH(E133,$E$6:$E$1000,0),COUNTA(UNIQUE(E$6:E133))),"0000"))</f>
        <v/>
      </c>
    </row>
    <row r="134" spans="3:4">
      <c r="C134" s="1" t="str">
        <f t="shared" si="1"/>
        <v/>
      </c>
      <c r="D134" t="str">
        <f>IF(E134="","",TEXT(IF(COUNTIF(E$6:E134,E134)&gt;=1,MATCH(E134,$E$6:$E$1000,0),COUNTA(UNIQUE(E$6:E134))),"0000"))</f>
        <v/>
      </c>
    </row>
    <row r="135" spans="3:4">
      <c r="C135" s="1" t="str">
        <f t="shared" ref="C135:C198" si="2">IF(AND(D135="",E135=""),"",ROW(C130))</f>
        <v/>
      </c>
      <c r="D135" t="str">
        <f>IF(E135="","",TEXT(IF(COUNTIF(E$6:E135,E135)&gt;=1,MATCH(E135,$E$6:$E$1000,0),COUNTA(UNIQUE(E$6:E135))),"0000"))</f>
        <v/>
      </c>
    </row>
    <row r="136" spans="3:4">
      <c r="C136" s="1" t="str">
        <f t="shared" si="2"/>
        <v/>
      </c>
      <c r="D136" t="str">
        <f>IF(E136="","",TEXT(IF(COUNTIF(E$6:E136,E136)&gt;=1,MATCH(E136,$E$6:$E$1000,0),COUNTA(UNIQUE(E$6:E136))),"0000"))</f>
        <v/>
      </c>
    </row>
    <row r="137" spans="3:4">
      <c r="C137" s="1" t="str">
        <f t="shared" si="2"/>
        <v/>
      </c>
      <c r="D137" t="str">
        <f>IF(E137="","",TEXT(IF(COUNTIF(E$6:E137,E137)&gt;=1,MATCH(E137,$E$6:$E$1000,0),COUNTA(UNIQUE(E$6:E137))),"0000"))</f>
        <v/>
      </c>
    </row>
    <row r="138" spans="3:4">
      <c r="C138" s="1" t="str">
        <f t="shared" si="2"/>
        <v/>
      </c>
      <c r="D138" t="str">
        <f>IF(E138="","",TEXT(IF(COUNTIF(E$6:E138,E138)&gt;=1,MATCH(E138,$E$6:$E$1000,0),COUNTA(UNIQUE(E$6:E138))),"0000"))</f>
        <v/>
      </c>
    </row>
    <row r="139" spans="3:4">
      <c r="C139" s="1" t="str">
        <f t="shared" si="2"/>
        <v/>
      </c>
      <c r="D139" t="str">
        <f>IF(E139="","",TEXT(IF(COUNTIF(E$6:E139,E139)&gt;=1,MATCH(E139,$E$6:$E$1000,0),COUNTA(UNIQUE(E$6:E139))),"0000"))</f>
        <v/>
      </c>
    </row>
    <row r="140" spans="3:4">
      <c r="C140" s="1" t="str">
        <f t="shared" si="2"/>
        <v/>
      </c>
      <c r="D140" t="str">
        <f>IF(E140="","",TEXT(IF(COUNTIF(E$6:E140,E140)&gt;=1,MATCH(E140,$E$6:$E$1000,0),COUNTA(UNIQUE(E$6:E140))),"0000"))</f>
        <v/>
      </c>
    </row>
    <row r="141" spans="3:4">
      <c r="C141" s="1" t="str">
        <f t="shared" si="2"/>
        <v/>
      </c>
      <c r="D141" t="str">
        <f>IF(E141="","",TEXT(IF(COUNTIF(E$6:E141,E141)&gt;=1,MATCH(E141,$E$6:$E$1000,0),COUNTA(UNIQUE(E$6:E141))),"0000"))</f>
        <v/>
      </c>
    </row>
    <row r="142" spans="3:4">
      <c r="C142" s="1" t="str">
        <f t="shared" si="2"/>
        <v/>
      </c>
      <c r="D142" t="str">
        <f>IF(E142="","",TEXT(IF(COUNTIF(E$6:E142,E142)&gt;=1,MATCH(E142,$E$6:$E$1000,0),COUNTA(UNIQUE(E$6:E142))),"0000"))</f>
        <v/>
      </c>
    </row>
    <row r="143" spans="3:4">
      <c r="C143" s="1" t="str">
        <f t="shared" si="2"/>
        <v/>
      </c>
      <c r="D143" t="str">
        <f>IF(E143="","",TEXT(IF(COUNTIF(E$6:E143,E143)&gt;=1,MATCH(E143,$E$6:$E$1000,0),COUNTA(UNIQUE(E$6:E143))),"0000"))</f>
        <v/>
      </c>
    </row>
    <row r="144" spans="3:4">
      <c r="C144" s="1" t="str">
        <f t="shared" si="2"/>
        <v/>
      </c>
      <c r="D144" t="str">
        <f>IF(E144="","",TEXT(IF(COUNTIF(E$6:E144,E144)&gt;=1,MATCH(E144,$E$6:$E$1000,0),COUNTA(UNIQUE(E$6:E144))),"0000"))</f>
        <v/>
      </c>
    </row>
    <row r="145" spans="3:4">
      <c r="C145" s="1" t="str">
        <f t="shared" si="2"/>
        <v/>
      </c>
      <c r="D145" t="str">
        <f>IF(E145="","",TEXT(IF(COUNTIF(E$6:E145,E145)&gt;=1,MATCH(E145,$E$6:$E$1000,0),COUNTA(UNIQUE(E$6:E145))),"0000"))</f>
        <v/>
      </c>
    </row>
    <row r="146" spans="3:4">
      <c r="C146" s="1" t="str">
        <f t="shared" si="2"/>
        <v/>
      </c>
      <c r="D146" t="str">
        <f>IF(E146="","",TEXT(IF(COUNTIF(E$6:E146,E146)&gt;=1,MATCH(E146,$E$6:$E$1000,0),COUNTA(UNIQUE(E$6:E146))),"0000"))</f>
        <v/>
      </c>
    </row>
    <row r="147" spans="3:4">
      <c r="C147" s="1" t="str">
        <f t="shared" si="2"/>
        <v/>
      </c>
      <c r="D147" t="str">
        <f>IF(E147="","",TEXT(IF(COUNTIF(E$6:E147,E147)&gt;=1,MATCH(E147,$E$6:$E$1000,0),COUNTA(UNIQUE(E$6:E147))),"0000"))</f>
        <v/>
      </c>
    </row>
    <row r="148" spans="3:4">
      <c r="C148" s="1" t="str">
        <f t="shared" si="2"/>
        <v/>
      </c>
      <c r="D148" t="str">
        <f>IF(E148="","",TEXT(IF(COUNTIF(E$6:E148,E148)&gt;=1,MATCH(E148,$E$6:$E$1000,0),COUNTA(UNIQUE(E$6:E148))),"0000"))</f>
        <v/>
      </c>
    </row>
    <row r="149" spans="3:4">
      <c r="C149" s="1" t="str">
        <f t="shared" si="2"/>
        <v/>
      </c>
      <c r="D149" t="str">
        <f>IF(E149="","",TEXT(IF(COUNTIF(E$6:E149,E149)&gt;=1,MATCH(E149,$E$6:$E$1000,0),COUNTA(UNIQUE(E$6:E149))),"0000"))</f>
        <v/>
      </c>
    </row>
    <row r="150" spans="3:4">
      <c r="C150" s="1" t="str">
        <f t="shared" si="2"/>
        <v/>
      </c>
      <c r="D150" t="str">
        <f>IF(E150="","",TEXT(IF(COUNTIF(E$6:E150,E150)&gt;=1,MATCH(E150,$E$6:$E$1000,0),COUNTA(UNIQUE(E$6:E150))),"0000"))</f>
        <v/>
      </c>
    </row>
    <row r="151" spans="3:4">
      <c r="C151" s="1" t="str">
        <f t="shared" si="2"/>
        <v/>
      </c>
      <c r="D151" t="str">
        <f>IF(E151="","",TEXT(IF(COUNTIF(E$6:E151,E151)&gt;=1,MATCH(E151,$E$6:$E$1000,0),COUNTA(UNIQUE(E$6:E151))),"0000"))</f>
        <v/>
      </c>
    </row>
    <row r="152" spans="3:4">
      <c r="C152" s="1" t="str">
        <f t="shared" si="2"/>
        <v/>
      </c>
      <c r="D152" t="str">
        <f>IF(E152="","",TEXT(IF(COUNTIF(E$6:E152,E152)&gt;=1,MATCH(E152,$E$6:$E$1000,0),COUNTA(UNIQUE(E$6:E152))),"0000"))</f>
        <v/>
      </c>
    </row>
    <row r="153" spans="3:4">
      <c r="C153" s="1" t="str">
        <f t="shared" si="2"/>
        <v/>
      </c>
      <c r="D153" t="str">
        <f>IF(E153="","",TEXT(IF(COUNTIF(E$6:E153,E153)&gt;=1,MATCH(E153,$E$6:$E$1000,0),COUNTA(UNIQUE(E$6:E153))),"0000"))</f>
        <v/>
      </c>
    </row>
    <row r="154" spans="3:4">
      <c r="C154" s="1" t="str">
        <f t="shared" si="2"/>
        <v/>
      </c>
      <c r="D154" t="str">
        <f>IF(E154="","",TEXT(IF(COUNTIF(E$6:E154,E154)&gt;=1,MATCH(E154,$E$6:$E$1000,0),COUNTA(UNIQUE(E$6:E154))),"0000"))</f>
        <v/>
      </c>
    </row>
    <row r="155" spans="3:4">
      <c r="C155" s="1" t="str">
        <f t="shared" si="2"/>
        <v/>
      </c>
      <c r="D155" t="str">
        <f>IF(E155="","",TEXT(IF(COUNTIF(E$6:E155,E155)&gt;=1,MATCH(E155,$E$6:$E$1000,0),COUNTA(UNIQUE(E$6:E155))),"0000"))</f>
        <v/>
      </c>
    </row>
    <row r="156" spans="3:4">
      <c r="C156" s="1" t="str">
        <f t="shared" si="2"/>
        <v/>
      </c>
      <c r="D156" t="str">
        <f>IF(E156="","",TEXT(IF(COUNTIF(E$6:E156,E156)&gt;=1,MATCH(E156,$E$6:$E$1000,0),COUNTA(UNIQUE(E$6:E156))),"0000"))</f>
        <v/>
      </c>
    </row>
    <row r="157" spans="3:4">
      <c r="C157" s="1" t="str">
        <f t="shared" si="2"/>
        <v/>
      </c>
      <c r="D157" t="str">
        <f>IF(E157="","",TEXT(IF(COUNTIF(E$6:E157,E157)&gt;=1,MATCH(E157,$E$6:$E$1000,0),COUNTA(UNIQUE(E$6:E157))),"0000"))</f>
        <v/>
      </c>
    </row>
    <row r="158" spans="3:4">
      <c r="C158" s="1" t="str">
        <f t="shared" si="2"/>
        <v/>
      </c>
      <c r="D158" t="str">
        <f>IF(E158="","",TEXT(IF(COUNTIF(E$6:E158,E158)&gt;=1,MATCH(E158,$E$6:$E$1000,0),COUNTA(UNIQUE(E$6:E158))),"0000"))</f>
        <v/>
      </c>
    </row>
    <row r="159" spans="3:4">
      <c r="C159" s="1" t="str">
        <f t="shared" si="2"/>
        <v/>
      </c>
      <c r="D159" t="str">
        <f>IF(E159="","",TEXT(IF(COUNTIF(E$6:E159,E159)&gt;=1,MATCH(E159,$E$6:$E$1000,0),COUNTA(UNIQUE(E$6:E159))),"0000"))</f>
        <v/>
      </c>
    </row>
    <row r="160" spans="3:4">
      <c r="C160" s="1" t="str">
        <f t="shared" si="2"/>
        <v/>
      </c>
      <c r="D160" t="str">
        <f>IF(E160="","",TEXT(IF(COUNTIF(E$6:E160,E160)&gt;=1,MATCH(E160,$E$6:$E$1000,0),COUNTA(UNIQUE(E$6:E160))),"0000"))</f>
        <v/>
      </c>
    </row>
    <row r="161" spans="3:4">
      <c r="C161" s="1" t="str">
        <f t="shared" si="2"/>
        <v/>
      </c>
      <c r="D161" t="str">
        <f>IF(E161="","",TEXT(IF(COUNTIF(E$6:E161,E161)&gt;=1,MATCH(E161,$E$6:$E$1000,0),COUNTA(UNIQUE(E$6:E161))),"0000"))</f>
        <v/>
      </c>
    </row>
    <row r="162" spans="3:4">
      <c r="C162" s="1" t="str">
        <f t="shared" si="2"/>
        <v/>
      </c>
      <c r="D162" t="str">
        <f>IF(E162="","",TEXT(IF(COUNTIF(E$6:E162,E162)&gt;=1,MATCH(E162,$E$6:$E$1000,0),COUNTA(UNIQUE(E$6:E162))),"0000"))</f>
        <v/>
      </c>
    </row>
    <row r="163" spans="3:4">
      <c r="C163" s="1" t="str">
        <f t="shared" si="2"/>
        <v/>
      </c>
      <c r="D163" t="str">
        <f>IF(E163="","",TEXT(IF(COUNTIF(E$6:E163,E163)&gt;=1,MATCH(E163,$E$6:$E$1000,0),COUNTA(UNIQUE(E$6:E163))),"0000"))</f>
        <v/>
      </c>
    </row>
    <row r="164" spans="3:4">
      <c r="C164" s="1" t="str">
        <f t="shared" si="2"/>
        <v/>
      </c>
      <c r="D164" t="str">
        <f>IF(E164="","",TEXT(IF(COUNTIF(E$6:E164,E164)&gt;=1,MATCH(E164,$E$6:$E$1000,0),COUNTA(UNIQUE(E$6:E164))),"0000"))</f>
        <v/>
      </c>
    </row>
    <row r="165" spans="3:4">
      <c r="C165" s="1" t="str">
        <f t="shared" si="2"/>
        <v/>
      </c>
      <c r="D165" t="str">
        <f>IF(E165="","",TEXT(IF(COUNTIF(E$6:E165,E165)&gt;=1,MATCH(E165,$E$6:$E$1000,0),COUNTA(UNIQUE(E$6:E165))),"0000"))</f>
        <v/>
      </c>
    </row>
    <row r="166" spans="3:4">
      <c r="C166" s="1" t="str">
        <f t="shared" si="2"/>
        <v/>
      </c>
      <c r="D166" t="str">
        <f>IF(E166="","",TEXT(IF(COUNTIF(E$6:E166,E166)&gt;=1,MATCH(E166,$E$6:$E$1000,0),COUNTA(UNIQUE(E$6:E166))),"0000"))</f>
        <v/>
      </c>
    </row>
    <row r="167" spans="3:4">
      <c r="C167" s="1" t="str">
        <f t="shared" si="2"/>
        <v/>
      </c>
      <c r="D167" t="str">
        <f>IF(E167="","",TEXT(IF(COUNTIF(E$6:E167,E167)&gt;=1,MATCH(E167,$E$6:$E$1000,0),COUNTA(UNIQUE(E$6:E167))),"0000"))</f>
        <v/>
      </c>
    </row>
    <row r="168" spans="3:4">
      <c r="C168" s="1" t="str">
        <f t="shared" si="2"/>
        <v/>
      </c>
      <c r="D168" t="str">
        <f>IF(E168="","",TEXT(IF(COUNTIF(E$6:E168,E168)&gt;=1,MATCH(E168,$E$6:$E$1000,0),COUNTA(UNIQUE(E$6:E168))),"0000"))</f>
        <v/>
      </c>
    </row>
    <row r="169" spans="3:4">
      <c r="C169" s="1" t="str">
        <f t="shared" si="2"/>
        <v/>
      </c>
      <c r="D169" t="str">
        <f>IF(E169="","",TEXT(IF(COUNTIF(E$6:E169,E169)&gt;=1,MATCH(E169,$E$6:$E$1000,0),COUNTA(UNIQUE(E$6:E169))),"0000"))</f>
        <v/>
      </c>
    </row>
    <row r="170" spans="3:4">
      <c r="C170" s="1" t="str">
        <f t="shared" si="2"/>
        <v/>
      </c>
      <c r="D170" t="str">
        <f>IF(E170="","",TEXT(IF(COUNTIF(E$6:E170,E170)&gt;=1,MATCH(E170,$E$6:$E$1000,0),COUNTA(UNIQUE(E$6:E170))),"0000"))</f>
        <v/>
      </c>
    </row>
    <row r="171" spans="3:4">
      <c r="C171" s="1" t="str">
        <f t="shared" si="2"/>
        <v/>
      </c>
      <c r="D171" t="str">
        <f>IF(E171="","",TEXT(IF(COUNTIF(E$6:E171,E171)&gt;=1,MATCH(E171,$E$6:$E$1000,0),COUNTA(UNIQUE(E$6:E171))),"0000"))</f>
        <v/>
      </c>
    </row>
    <row r="172" spans="3:4">
      <c r="C172" s="1" t="str">
        <f t="shared" si="2"/>
        <v/>
      </c>
      <c r="D172" t="str">
        <f>IF(E172="","",TEXT(IF(COUNTIF(E$6:E172,E172)&gt;=1,MATCH(E172,$E$6:$E$1000,0),COUNTA(UNIQUE(E$6:E172))),"0000"))</f>
        <v/>
      </c>
    </row>
    <row r="173" spans="3:4">
      <c r="C173" s="1" t="str">
        <f t="shared" si="2"/>
        <v/>
      </c>
      <c r="D173" t="str">
        <f>IF(E173="","",TEXT(IF(COUNTIF(E$6:E173,E173)&gt;=1,MATCH(E173,$E$6:$E$1000,0),COUNTA(UNIQUE(E$6:E173))),"0000"))</f>
        <v/>
      </c>
    </row>
    <row r="174" spans="3:4">
      <c r="C174" s="1" t="str">
        <f t="shared" si="2"/>
        <v/>
      </c>
      <c r="D174" t="str">
        <f>IF(E174="","",TEXT(IF(COUNTIF(E$6:E174,E174)&gt;=1,MATCH(E174,$E$6:$E$1000,0),COUNTA(UNIQUE(E$6:E174))),"0000"))</f>
        <v/>
      </c>
    </row>
    <row r="175" spans="3:4">
      <c r="C175" s="1" t="str">
        <f t="shared" si="2"/>
        <v/>
      </c>
      <c r="D175" t="str">
        <f>IF(E175="","",TEXT(IF(COUNTIF(E$6:E175,E175)&gt;=1,MATCH(E175,$E$6:$E$1000,0),COUNTA(UNIQUE(E$6:E175))),"0000"))</f>
        <v/>
      </c>
    </row>
    <row r="176" spans="3:4">
      <c r="C176" s="1" t="str">
        <f t="shared" si="2"/>
        <v/>
      </c>
      <c r="D176" t="str">
        <f>IF(E176="","",TEXT(IF(COUNTIF(E$6:E176,E176)&gt;=1,MATCH(E176,$E$6:$E$1000,0),COUNTA(UNIQUE(E$6:E176))),"0000"))</f>
        <v/>
      </c>
    </row>
    <row r="177" spans="3:4">
      <c r="C177" s="1" t="str">
        <f t="shared" si="2"/>
        <v/>
      </c>
      <c r="D177" t="str">
        <f>IF(E177="","",TEXT(IF(COUNTIF(E$6:E177,E177)&gt;=1,MATCH(E177,$E$6:$E$1000,0),COUNTA(UNIQUE(E$6:E177))),"0000"))</f>
        <v/>
      </c>
    </row>
    <row r="178" spans="3:4">
      <c r="C178" s="1" t="str">
        <f t="shared" si="2"/>
        <v/>
      </c>
      <c r="D178" t="str">
        <f>IF(E178="","",TEXT(IF(COUNTIF(E$6:E178,E178)&gt;=1,MATCH(E178,$E$6:$E$1000,0),COUNTA(UNIQUE(E$6:E178))),"0000"))</f>
        <v/>
      </c>
    </row>
    <row r="179" spans="3:4">
      <c r="C179" s="1" t="str">
        <f t="shared" si="2"/>
        <v/>
      </c>
      <c r="D179" t="str">
        <f>IF(E179="","",TEXT(IF(COUNTIF(E$6:E179,E179)&gt;=1,MATCH(E179,$E$6:$E$1000,0),COUNTA(UNIQUE(E$6:E179))),"0000"))</f>
        <v/>
      </c>
    </row>
    <row r="180" spans="3:4">
      <c r="C180" s="1" t="str">
        <f t="shared" si="2"/>
        <v/>
      </c>
      <c r="D180" t="str">
        <f>IF(E180="","",TEXT(IF(COUNTIF(E$6:E180,E180)&gt;=1,MATCH(E180,$E$6:$E$1000,0),COUNTA(UNIQUE(E$6:E180))),"0000"))</f>
        <v/>
      </c>
    </row>
    <row r="181" spans="3:4">
      <c r="C181" s="1" t="str">
        <f t="shared" si="2"/>
        <v/>
      </c>
      <c r="D181" t="str">
        <f>IF(E181="","",TEXT(IF(COUNTIF(E$6:E181,E181)&gt;=1,MATCH(E181,$E$6:$E$1000,0),COUNTA(UNIQUE(E$6:E181))),"0000"))</f>
        <v/>
      </c>
    </row>
    <row r="182" spans="3:4">
      <c r="C182" s="1" t="str">
        <f t="shared" si="2"/>
        <v/>
      </c>
      <c r="D182" t="str">
        <f>IF(E182="","",TEXT(IF(COUNTIF(E$6:E182,E182)&gt;=1,MATCH(E182,$E$6:$E$1000,0),COUNTA(UNIQUE(E$6:E182))),"0000"))</f>
        <v/>
      </c>
    </row>
    <row r="183" spans="3:4">
      <c r="C183" s="1" t="str">
        <f t="shared" si="2"/>
        <v/>
      </c>
      <c r="D183" t="str">
        <f>IF(E183="","",TEXT(IF(COUNTIF(E$6:E183,E183)&gt;=1,MATCH(E183,$E$6:$E$1000,0),COUNTA(UNIQUE(E$6:E183))),"0000"))</f>
        <v/>
      </c>
    </row>
    <row r="184" spans="3:4">
      <c r="C184" s="1" t="str">
        <f t="shared" si="2"/>
        <v/>
      </c>
      <c r="D184" t="str">
        <f>IF(E184="","",TEXT(IF(COUNTIF(E$6:E184,E184)&gt;=1,MATCH(E184,$E$6:$E$1000,0),COUNTA(UNIQUE(E$6:E184))),"0000"))</f>
        <v/>
      </c>
    </row>
    <row r="185" spans="3:4">
      <c r="C185" s="1" t="str">
        <f t="shared" si="2"/>
        <v/>
      </c>
      <c r="D185" t="str">
        <f>IF(E185="","",TEXT(IF(COUNTIF(E$6:E185,E185)&gt;=1,MATCH(E185,$E$6:$E$1000,0),COUNTA(UNIQUE(E$6:E185))),"0000"))</f>
        <v/>
      </c>
    </row>
    <row r="186" spans="3:4">
      <c r="C186" s="1" t="str">
        <f t="shared" si="2"/>
        <v/>
      </c>
      <c r="D186" t="str">
        <f>IF(E186="","",TEXT(IF(COUNTIF(E$6:E186,E186)&gt;=1,MATCH(E186,$E$6:$E$1000,0),COUNTA(UNIQUE(E$6:E186))),"0000"))</f>
        <v/>
      </c>
    </row>
    <row r="187" spans="3:4">
      <c r="C187" s="1" t="str">
        <f t="shared" si="2"/>
        <v/>
      </c>
      <c r="D187" t="str">
        <f>IF(E187="","",TEXT(IF(COUNTIF(E$6:E187,E187)&gt;=1,MATCH(E187,$E$6:$E$1000,0),COUNTA(UNIQUE(E$6:E187))),"0000"))</f>
        <v/>
      </c>
    </row>
    <row r="188" spans="3:4">
      <c r="C188" s="1" t="str">
        <f t="shared" si="2"/>
        <v/>
      </c>
      <c r="D188" t="str">
        <f>IF(E188="","",TEXT(IF(COUNTIF(E$6:E188,E188)&gt;=1,MATCH(E188,$E$6:$E$1000,0),COUNTA(UNIQUE(E$6:E188))),"0000"))</f>
        <v/>
      </c>
    </row>
    <row r="189" spans="3:4">
      <c r="C189" s="1" t="str">
        <f t="shared" si="2"/>
        <v/>
      </c>
      <c r="D189" t="str">
        <f>IF(E189="","",TEXT(IF(COUNTIF(E$6:E189,E189)&gt;=1,MATCH(E189,$E$6:$E$1000,0),COUNTA(UNIQUE(E$6:E189))),"0000"))</f>
        <v/>
      </c>
    </row>
    <row r="190" spans="3:4">
      <c r="C190" s="1" t="str">
        <f t="shared" si="2"/>
        <v/>
      </c>
      <c r="D190" t="str">
        <f>IF(E190="","",TEXT(IF(COUNTIF(E$6:E190,E190)&gt;=1,MATCH(E190,$E$6:$E$1000,0),COUNTA(UNIQUE(E$6:E190))),"0000"))</f>
        <v/>
      </c>
    </row>
    <row r="191" spans="3:4">
      <c r="C191" s="1" t="str">
        <f t="shared" si="2"/>
        <v/>
      </c>
      <c r="D191" t="str">
        <f>IF(E191="","",TEXT(IF(COUNTIF(E$6:E191,E191)&gt;=1,MATCH(E191,$E$6:$E$1000,0),COUNTA(UNIQUE(E$6:E191))),"0000"))</f>
        <v/>
      </c>
    </row>
    <row r="192" spans="3:4">
      <c r="C192" s="1" t="str">
        <f t="shared" si="2"/>
        <v/>
      </c>
      <c r="D192" t="str">
        <f>IF(E192="","",TEXT(IF(COUNTIF(E$6:E192,E192)&gt;=1,MATCH(E192,$E$6:$E$1000,0),COUNTA(UNIQUE(E$6:E192))),"0000"))</f>
        <v/>
      </c>
    </row>
    <row r="193" spans="3:4">
      <c r="C193" s="1" t="str">
        <f t="shared" si="2"/>
        <v/>
      </c>
      <c r="D193" t="str">
        <f>IF(E193="","",TEXT(IF(COUNTIF(E$6:E193,E193)&gt;=1,MATCH(E193,$E$6:$E$1000,0),COUNTA(UNIQUE(E$6:E193))),"0000"))</f>
        <v/>
      </c>
    </row>
    <row r="194" spans="3:4">
      <c r="C194" s="1" t="str">
        <f t="shared" si="2"/>
        <v/>
      </c>
      <c r="D194" t="str">
        <f>IF(E194="","",TEXT(IF(COUNTIF(E$6:E194,E194)&gt;=1,MATCH(E194,$E$6:$E$1000,0),COUNTA(UNIQUE(E$6:E194))),"0000"))</f>
        <v/>
      </c>
    </row>
    <row r="195" spans="3:4">
      <c r="C195" s="1" t="str">
        <f t="shared" si="2"/>
        <v/>
      </c>
      <c r="D195" t="str">
        <f>IF(E195="","",TEXT(IF(COUNTIF(E$6:E195,E195)&gt;=1,MATCH(E195,$E$6:$E$1000,0),COUNTA(UNIQUE(E$6:E195))),"0000"))</f>
        <v/>
      </c>
    </row>
    <row r="196" spans="3:4">
      <c r="C196" s="1" t="str">
        <f t="shared" si="2"/>
        <v/>
      </c>
      <c r="D196" t="str">
        <f>IF(E196="","",TEXT(IF(COUNTIF(E$6:E196,E196)&gt;=1,MATCH(E196,$E$6:$E$1000,0),COUNTA(UNIQUE(E$6:E196))),"0000"))</f>
        <v/>
      </c>
    </row>
    <row r="197" spans="3:4">
      <c r="C197" s="1" t="str">
        <f t="shared" si="2"/>
        <v/>
      </c>
      <c r="D197" t="str">
        <f>IF(E197="","",TEXT(IF(COUNTIF(E$6:E197,E197)&gt;=1,MATCH(E197,$E$6:$E$1000,0),COUNTA(UNIQUE(E$6:E197))),"0000"))</f>
        <v/>
      </c>
    </row>
    <row r="198" spans="3:4">
      <c r="C198" s="1" t="str">
        <f t="shared" si="2"/>
        <v/>
      </c>
      <c r="D198" t="str">
        <f>IF(E198="","",TEXT(IF(COUNTIF(E$6:E198,E198)&gt;=1,MATCH(E198,$E$6:$E$1000,0),COUNTA(UNIQUE(E$6:E198))),"0000"))</f>
        <v/>
      </c>
    </row>
    <row r="199" spans="3:4">
      <c r="C199" s="1" t="str">
        <f t="shared" ref="C199:C262" si="3">IF(AND(D199="",E199=""),"",ROW(C194))</f>
        <v/>
      </c>
      <c r="D199" t="str">
        <f>IF(E199="","",TEXT(IF(COUNTIF(E$6:E199,E199)&gt;=1,MATCH(E199,$E$6:$E$1000,0),COUNTA(UNIQUE(E$6:E199))),"0000"))</f>
        <v/>
      </c>
    </row>
    <row r="200" spans="3:4">
      <c r="C200" s="1" t="str">
        <f t="shared" si="3"/>
        <v/>
      </c>
      <c r="D200" t="str">
        <f>IF(E200="","",TEXT(IF(COUNTIF(E$6:E200,E200)&gt;=1,MATCH(E200,$E$6:$E$1000,0),COUNTA(UNIQUE(E$6:E200))),"0000"))</f>
        <v/>
      </c>
    </row>
    <row r="201" spans="3:4">
      <c r="C201" s="1" t="str">
        <f t="shared" si="3"/>
        <v/>
      </c>
      <c r="D201" t="str">
        <f>IF(E201="","",TEXT(IF(COUNTIF(E$6:E201,E201)&gt;=1,MATCH(E201,$E$6:$E$1000,0),COUNTA(UNIQUE(E$6:E201))),"0000"))</f>
        <v/>
      </c>
    </row>
    <row r="202" spans="3:4">
      <c r="C202" s="1" t="str">
        <f t="shared" si="3"/>
        <v/>
      </c>
      <c r="D202" t="str">
        <f>IF(E202="","",TEXT(IF(COUNTIF(E$6:E202,E202)&gt;=1,MATCH(E202,$E$6:$E$1000,0),COUNTA(UNIQUE(E$6:E202))),"0000"))</f>
        <v/>
      </c>
    </row>
    <row r="203" spans="3:4">
      <c r="C203" s="1" t="str">
        <f t="shared" si="3"/>
        <v/>
      </c>
      <c r="D203" t="str">
        <f>IF(E203="","",TEXT(IF(COUNTIF(E$6:E203,E203)&gt;=1,MATCH(E203,$E$6:$E$1000,0),COUNTA(UNIQUE(E$6:E203))),"0000"))</f>
        <v/>
      </c>
    </row>
    <row r="204" spans="3:4">
      <c r="C204" s="1" t="str">
        <f t="shared" si="3"/>
        <v/>
      </c>
      <c r="D204" t="str">
        <f>IF(E204="","",TEXT(IF(COUNTIF(E$6:E204,E204)&gt;=1,MATCH(E204,$E$6:$E$1000,0),COUNTA(UNIQUE(E$6:E204))),"0000"))</f>
        <v/>
      </c>
    </row>
    <row r="205" spans="3:4">
      <c r="C205" s="1" t="str">
        <f t="shared" si="3"/>
        <v/>
      </c>
      <c r="D205" t="str">
        <f>IF(E205="","",TEXT(IF(COUNTIF(E$6:E205,E205)&gt;=1,MATCH(E205,$E$6:$E$1000,0),COUNTA(UNIQUE(E$6:E205))),"0000"))</f>
        <v/>
      </c>
    </row>
    <row r="206" spans="3:4">
      <c r="C206" s="1" t="str">
        <f t="shared" si="3"/>
        <v/>
      </c>
      <c r="D206" t="str">
        <f>IF(E206="","",TEXT(IF(COUNTIF(E$6:E206,E206)&gt;=1,MATCH(E206,$E$6:$E$1000,0),COUNTA(UNIQUE(E$6:E206))),"0000"))</f>
        <v/>
      </c>
    </row>
    <row r="207" spans="3:4">
      <c r="C207" s="1" t="str">
        <f t="shared" si="3"/>
        <v/>
      </c>
      <c r="D207" t="str">
        <f>IF(E207="","",TEXT(IF(COUNTIF(E$6:E207,E207)&gt;=1,MATCH(E207,$E$6:$E$1000,0),COUNTA(UNIQUE(E$6:E207))),"0000"))</f>
        <v/>
      </c>
    </row>
    <row r="208" spans="3:4">
      <c r="C208" s="1" t="str">
        <f t="shared" si="3"/>
        <v/>
      </c>
      <c r="D208" t="str">
        <f>IF(E208="","",TEXT(IF(COUNTIF(E$6:E208,E208)&gt;=1,MATCH(E208,$E$6:$E$1000,0),COUNTA(UNIQUE(E$6:E208))),"0000"))</f>
        <v/>
      </c>
    </row>
    <row r="209" spans="3:4">
      <c r="C209" s="1" t="str">
        <f t="shared" si="3"/>
        <v/>
      </c>
      <c r="D209" t="str">
        <f>IF(E209="","",TEXT(IF(COUNTIF(E$6:E209,E209)&gt;=1,MATCH(E209,$E$6:$E$1000,0),COUNTA(UNIQUE(E$6:E209))),"0000"))</f>
        <v/>
      </c>
    </row>
    <row r="210" spans="3:4">
      <c r="C210" s="1" t="str">
        <f t="shared" si="3"/>
        <v/>
      </c>
      <c r="D210" t="str">
        <f>IF(E210="","",TEXT(IF(COUNTIF(E$6:E210,E210)&gt;=1,MATCH(E210,$E$6:$E$1000,0),COUNTA(UNIQUE(E$6:E210))),"0000"))</f>
        <v/>
      </c>
    </row>
    <row r="211" spans="3:4">
      <c r="C211" s="1" t="str">
        <f t="shared" si="3"/>
        <v/>
      </c>
      <c r="D211" t="str">
        <f>IF(E211="","",TEXT(IF(COUNTIF(E$6:E211,E211)&gt;=1,MATCH(E211,$E$6:$E$1000,0),COUNTA(UNIQUE(E$6:E211))),"0000"))</f>
        <v/>
      </c>
    </row>
    <row r="212" spans="3:4">
      <c r="C212" s="1" t="str">
        <f t="shared" si="3"/>
        <v/>
      </c>
      <c r="D212" t="str">
        <f>IF(E212="","",TEXT(IF(COUNTIF(E$6:E212,E212)&gt;=1,MATCH(E212,$E$6:$E$1000,0),COUNTA(UNIQUE(E$6:E212))),"0000"))</f>
        <v/>
      </c>
    </row>
    <row r="213" spans="3:4">
      <c r="C213" s="1" t="str">
        <f t="shared" si="3"/>
        <v/>
      </c>
      <c r="D213" t="str">
        <f>IF(E213="","",TEXT(IF(COUNTIF(E$6:E213,E213)&gt;=1,MATCH(E213,$E$6:$E$1000,0),COUNTA(UNIQUE(E$6:E213))),"0000"))</f>
        <v/>
      </c>
    </row>
    <row r="214" spans="3:4">
      <c r="C214" s="1" t="str">
        <f t="shared" si="3"/>
        <v/>
      </c>
      <c r="D214" t="str">
        <f>IF(E214="","",TEXT(IF(COUNTIF(E$6:E214,E214)&gt;=1,MATCH(E214,$E$6:$E$1000,0),COUNTA(UNIQUE(E$6:E214))),"0000"))</f>
        <v/>
      </c>
    </row>
    <row r="215" spans="3:4">
      <c r="C215" s="1" t="str">
        <f t="shared" si="3"/>
        <v/>
      </c>
      <c r="D215" t="str">
        <f>IF(E215="","",TEXT(IF(COUNTIF(E$6:E215,E215)&gt;=1,MATCH(E215,$E$6:$E$1000,0),COUNTA(UNIQUE(E$6:E215))),"0000"))</f>
        <v/>
      </c>
    </row>
    <row r="216" spans="3:4">
      <c r="C216" s="1" t="str">
        <f t="shared" si="3"/>
        <v/>
      </c>
      <c r="D216" t="str">
        <f>IF(E216="","",TEXT(IF(COUNTIF(E$6:E216,E216)&gt;=1,MATCH(E216,$E$6:$E$1000,0),COUNTA(UNIQUE(E$6:E216))),"0000"))</f>
        <v/>
      </c>
    </row>
    <row r="217" spans="3:4">
      <c r="C217" s="1" t="str">
        <f t="shared" si="3"/>
        <v/>
      </c>
      <c r="D217" t="str">
        <f>IF(E217="","",TEXT(IF(COUNTIF(E$6:E217,E217)&gt;=1,MATCH(E217,$E$6:$E$1000,0),COUNTA(UNIQUE(E$6:E217))),"0000"))</f>
        <v/>
      </c>
    </row>
    <row r="218" spans="3:4">
      <c r="C218" s="1" t="str">
        <f t="shared" si="3"/>
        <v/>
      </c>
      <c r="D218" t="str">
        <f>IF(E218="","",TEXT(IF(COUNTIF(E$6:E218,E218)&gt;=1,MATCH(E218,$E$6:$E$1000,0),COUNTA(UNIQUE(E$6:E218))),"0000"))</f>
        <v/>
      </c>
    </row>
    <row r="219" spans="3:4">
      <c r="C219" s="1" t="str">
        <f t="shared" si="3"/>
        <v/>
      </c>
      <c r="D219" t="str">
        <f>IF(E219="","",TEXT(IF(COUNTIF(E$6:E219,E219)&gt;=1,MATCH(E219,$E$6:$E$1000,0),COUNTA(UNIQUE(E$6:E219))),"0000"))</f>
        <v/>
      </c>
    </row>
    <row r="220" spans="3:4">
      <c r="C220" s="1" t="str">
        <f t="shared" si="3"/>
        <v/>
      </c>
      <c r="D220" t="str">
        <f>IF(E220="","",TEXT(IF(COUNTIF(E$6:E220,E220)&gt;=1,MATCH(E220,$E$6:$E$1000,0),COUNTA(UNIQUE(E$6:E220))),"0000"))</f>
        <v/>
      </c>
    </row>
    <row r="221" spans="3:4">
      <c r="C221" s="1" t="str">
        <f t="shared" si="3"/>
        <v/>
      </c>
      <c r="D221" t="str">
        <f>IF(E221="","",TEXT(IF(COUNTIF(E$6:E221,E221)&gt;=1,MATCH(E221,$E$6:$E$1000,0),COUNTA(UNIQUE(E$6:E221))),"0000"))</f>
        <v/>
      </c>
    </row>
    <row r="222" spans="3:4">
      <c r="C222" s="1" t="str">
        <f t="shared" si="3"/>
        <v/>
      </c>
      <c r="D222" t="str">
        <f>IF(E222="","",TEXT(IF(COUNTIF(E$6:E222,E222)&gt;=1,MATCH(E222,$E$6:$E$1000,0),COUNTA(UNIQUE(E$6:E222))),"0000"))</f>
        <v/>
      </c>
    </row>
    <row r="223" spans="3:4">
      <c r="C223" s="1" t="str">
        <f t="shared" si="3"/>
        <v/>
      </c>
      <c r="D223" t="str">
        <f>IF(E223="","",TEXT(IF(COUNTIF(E$6:E223,E223)&gt;=1,MATCH(E223,$E$6:$E$1000,0),COUNTA(UNIQUE(E$6:E223))),"0000"))</f>
        <v/>
      </c>
    </row>
    <row r="224" spans="3:4">
      <c r="C224" s="1" t="str">
        <f t="shared" si="3"/>
        <v/>
      </c>
      <c r="D224" t="str">
        <f>IF(E224="","",TEXT(IF(COUNTIF(E$6:E224,E224)&gt;=1,MATCH(E224,$E$6:$E$1000,0),COUNTA(UNIQUE(E$6:E224))),"0000"))</f>
        <v/>
      </c>
    </row>
    <row r="225" spans="3:4">
      <c r="C225" s="1" t="str">
        <f t="shared" si="3"/>
        <v/>
      </c>
      <c r="D225" t="str">
        <f>IF(E225="","",TEXT(IF(COUNTIF(E$6:E225,E225)&gt;=1,MATCH(E225,$E$6:$E$1000,0),COUNTA(UNIQUE(E$6:E225))),"0000"))</f>
        <v/>
      </c>
    </row>
    <row r="226" spans="3:4">
      <c r="C226" s="1" t="str">
        <f t="shared" si="3"/>
        <v/>
      </c>
      <c r="D226" t="str">
        <f>IF(E226="","",TEXT(IF(COUNTIF(E$6:E226,E226)&gt;=1,MATCH(E226,$E$6:$E$1000,0),COUNTA(UNIQUE(E$6:E226))),"0000"))</f>
        <v/>
      </c>
    </row>
    <row r="227" spans="3:4">
      <c r="C227" s="1" t="str">
        <f t="shared" si="3"/>
        <v/>
      </c>
      <c r="D227" t="str">
        <f>IF(E227="","",TEXT(IF(COUNTIF(E$6:E227,E227)&gt;=1,MATCH(E227,$E$6:$E$1000,0),COUNTA(UNIQUE(E$6:E227))),"0000"))</f>
        <v/>
      </c>
    </row>
    <row r="228" spans="3:4">
      <c r="C228" s="1" t="str">
        <f t="shared" si="3"/>
        <v/>
      </c>
      <c r="D228" t="str">
        <f>IF(E228="","",TEXT(IF(COUNTIF(E$6:E228,E228)&gt;=1,MATCH(E228,$E$6:$E$1000,0),COUNTA(UNIQUE(E$6:E228))),"0000"))</f>
        <v/>
      </c>
    </row>
    <row r="229" spans="3:4">
      <c r="C229" s="1" t="str">
        <f t="shared" si="3"/>
        <v/>
      </c>
      <c r="D229" t="str">
        <f>IF(E229="","",TEXT(IF(COUNTIF(E$6:E229,E229)&gt;=1,MATCH(E229,$E$6:$E$1000,0),COUNTA(UNIQUE(E$6:E229))),"0000"))</f>
        <v/>
      </c>
    </row>
    <row r="230" spans="3:4">
      <c r="C230" s="1" t="str">
        <f t="shared" si="3"/>
        <v/>
      </c>
      <c r="D230" t="str">
        <f>IF(E230="","",TEXT(IF(COUNTIF(E$6:E230,E230)&gt;=1,MATCH(E230,$E$6:$E$1000,0),COUNTA(UNIQUE(E$6:E230))),"0000"))</f>
        <v/>
      </c>
    </row>
    <row r="231" spans="3:4">
      <c r="C231" s="1" t="str">
        <f t="shared" si="3"/>
        <v/>
      </c>
      <c r="D231" t="str">
        <f>IF(E231="","",TEXT(IF(COUNTIF(E$6:E231,E231)&gt;=1,MATCH(E231,$E$6:$E$1000,0),COUNTA(UNIQUE(E$6:E231))),"0000"))</f>
        <v/>
      </c>
    </row>
    <row r="232" spans="3:4">
      <c r="C232" s="1" t="str">
        <f t="shared" si="3"/>
        <v/>
      </c>
      <c r="D232" t="str">
        <f>IF(E232="","",TEXT(IF(COUNTIF(E$6:E232,E232)&gt;=1,MATCH(E232,$E$6:$E$1000,0),COUNTA(UNIQUE(E$6:E232))),"0000"))</f>
        <v/>
      </c>
    </row>
    <row r="233" spans="3:4">
      <c r="C233" s="1" t="str">
        <f t="shared" si="3"/>
        <v/>
      </c>
      <c r="D233" t="str">
        <f>IF(E233="","",TEXT(IF(COUNTIF(E$6:E233,E233)&gt;=1,MATCH(E233,$E$6:$E$1000,0),COUNTA(UNIQUE(E$6:E233))),"0000"))</f>
        <v/>
      </c>
    </row>
    <row r="234" spans="3:4">
      <c r="C234" s="1" t="str">
        <f t="shared" si="3"/>
        <v/>
      </c>
      <c r="D234" t="str">
        <f>IF(E234="","",TEXT(IF(COUNTIF(E$6:E234,E234)&gt;=1,MATCH(E234,$E$6:$E$1000,0),COUNTA(UNIQUE(E$6:E234))),"0000"))</f>
        <v/>
      </c>
    </row>
    <row r="235" spans="3:4">
      <c r="C235" s="1" t="str">
        <f t="shared" si="3"/>
        <v/>
      </c>
      <c r="D235" t="str">
        <f>IF(E235="","",TEXT(IF(COUNTIF(E$6:E235,E235)&gt;=1,MATCH(E235,$E$6:$E$1000,0),COUNTA(UNIQUE(E$6:E235))),"0000"))</f>
        <v/>
      </c>
    </row>
    <row r="236" spans="3:4">
      <c r="C236" s="1" t="str">
        <f t="shared" si="3"/>
        <v/>
      </c>
      <c r="D236" t="str">
        <f>IF(E236="","",TEXT(IF(COUNTIF(E$6:E236,E236)&gt;=1,MATCH(E236,$E$6:$E$1000,0),COUNTA(UNIQUE(E$6:E236))),"0000"))</f>
        <v/>
      </c>
    </row>
    <row r="237" spans="3:4">
      <c r="C237" s="1" t="str">
        <f t="shared" si="3"/>
        <v/>
      </c>
      <c r="D237" t="str">
        <f>IF(E237="","",TEXT(IF(COUNTIF(E$6:E237,E237)&gt;=1,MATCH(E237,$E$6:$E$1000,0),COUNTA(UNIQUE(E$6:E237))),"0000"))</f>
        <v/>
      </c>
    </row>
    <row r="238" spans="3:4">
      <c r="C238" s="1" t="str">
        <f t="shared" si="3"/>
        <v/>
      </c>
      <c r="D238" t="str">
        <f>IF(E238="","",TEXT(IF(COUNTIF(E$6:E238,E238)&gt;=1,MATCH(E238,$E$6:$E$1000,0),COUNTA(UNIQUE(E$6:E238))),"0000"))</f>
        <v/>
      </c>
    </row>
    <row r="239" spans="3:4">
      <c r="C239" s="1" t="str">
        <f t="shared" si="3"/>
        <v/>
      </c>
      <c r="D239" t="str">
        <f>IF(E239="","",TEXT(IF(COUNTIF(E$6:E239,E239)&gt;=1,MATCH(E239,$E$6:$E$1000,0),COUNTA(UNIQUE(E$6:E239))),"0000"))</f>
        <v/>
      </c>
    </row>
    <row r="240" spans="3:4">
      <c r="C240" s="1" t="str">
        <f t="shared" si="3"/>
        <v/>
      </c>
      <c r="D240" t="str">
        <f>IF(E240="","",TEXT(IF(COUNTIF(E$6:E240,E240)&gt;=1,MATCH(E240,$E$6:$E$1000,0),COUNTA(UNIQUE(E$6:E240))),"0000"))</f>
        <v/>
      </c>
    </row>
    <row r="241" spans="3:4">
      <c r="C241" s="1" t="str">
        <f t="shared" si="3"/>
        <v/>
      </c>
      <c r="D241" t="str">
        <f>IF(E241="","",TEXT(IF(COUNTIF(E$6:E241,E241)&gt;=1,MATCH(E241,$E$6:$E$1000,0),COUNTA(UNIQUE(E$6:E241))),"0000"))</f>
        <v/>
      </c>
    </row>
    <row r="242" spans="3:4">
      <c r="C242" s="1" t="str">
        <f t="shared" si="3"/>
        <v/>
      </c>
      <c r="D242" t="str">
        <f>IF(E242="","",TEXT(IF(COUNTIF(E$6:E242,E242)&gt;=1,MATCH(E242,$E$6:$E$1000,0),COUNTA(UNIQUE(E$6:E242))),"0000"))</f>
        <v/>
      </c>
    </row>
    <row r="243" spans="3:4">
      <c r="C243" s="1" t="str">
        <f t="shared" si="3"/>
        <v/>
      </c>
      <c r="D243" t="str">
        <f>IF(E243="","",TEXT(IF(COUNTIF(E$6:E243,E243)&gt;=1,MATCH(E243,$E$6:$E$1000,0),COUNTA(UNIQUE(E$6:E243))),"0000"))</f>
        <v/>
      </c>
    </row>
    <row r="244" spans="3:4">
      <c r="C244" s="1" t="str">
        <f t="shared" si="3"/>
        <v/>
      </c>
      <c r="D244" t="str">
        <f>IF(E244="","",TEXT(IF(COUNTIF(E$6:E244,E244)&gt;=1,MATCH(E244,$E$6:$E$1000,0),COUNTA(UNIQUE(E$6:E244))),"0000"))</f>
        <v/>
      </c>
    </row>
    <row r="245" spans="3:4">
      <c r="C245" s="1" t="str">
        <f t="shared" si="3"/>
        <v/>
      </c>
      <c r="D245" t="str">
        <f>IF(E245="","",TEXT(IF(COUNTIF(E$6:E245,E245)&gt;=1,MATCH(E245,$E$6:$E$1000,0),COUNTA(UNIQUE(E$6:E245))),"0000"))</f>
        <v/>
      </c>
    </row>
    <row r="246" spans="3:4">
      <c r="C246" s="1" t="str">
        <f t="shared" si="3"/>
        <v/>
      </c>
      <c r="D246" t="str">
        <f>IF(E246="","",TEXT(IF(COUNTIF(E$6:E246,E246)&gt;=1,MATCH(E246,$E$6:$E$1000,0),COUNTA(UNIQUE(E$6:E246))),"0000"))</f>
        <v/>
      </c>
    </row>
    <row r="247" spans="3:4">
      <c r="C247" s="1" t="str">
        <f t="shared" si="3"/>
        <v/>
      </c>
      <c r="D247" t="str">
        <f>IF(E247="","",TEXT(IF(COUNTIF(E$6:E247,E247)&gt;=1,MATCH(E247,$E$6:$E$1000,0),COUNTA(UNIQUE(E$6:E247))),"0000"))</f>
        <v/>
      </c>
    </row>
    <row r="248" spans="3:4">
      <c r="C248" s="1" t="str">
        <f t="shared" si="3"/>
        <v/>
      </c>
      <c r="D248" t="str">
        <f>IF(E248="","",TEXT(IF(COUNTIF(E$6:E248,E248)&gt;=1,MATCH(E248,$E$6:$E$1000,0),COUNTA(UNIQUE(E$6:E248))),"0000"))</f>
        <v/>
      </c>
    </row>
    <row r="249" spans="3:4">
      <c r="C249" s="1" t="str">
        <f t="shared" si="3"/>
        <v/>
      </c>
      <c r="D249" t="str">
        <f>IF(E249="","",TEXT(IF(COUNTIF(E$6:E249,E249)&gt;=1,MATCH(E249,$E$6:$E$1000,0),COUNTA(UNIQUE(E$6:E249))),"0000"))</f>
        <v/>
      </c>
    </row>
    <row r="250" spans="3:4">
      <c r="C250" s="1" t="str">
        <f t="shared" si="3"/>
        <v/>
      </c>
      <c r="D250" t="str">
        <f>IF(E250="","",TEXT(IF(COUNTIF(E$6:E250,E250)&gt;=1,MATCH(E250,$E$6:$E$1000,0),COUNTA(UNIQUE(E$6:E250))),"0000"))</f>
        <v/>
      </c>
    </row>
    <row r="251" spans="3:4">
      <c r="C251" s="1" t="str">
        <f t="shared" si="3"/>
        <v/>
      </c>
      <c r="D251" t="str">
        <f>IF(E251="","",TEXT(IF(COUNTIF(E$6:E251,E251)&gt;=1,MATCH(E251,$E$6:$E$1000,0),COUNTA(UNIQUE(E$6:E251))),"0000"))</f>
        <v/>
      </c>
    </row>
    <row r="252" spans="3:4">
      <c r="C252" s="1" t="str">
        <f t="shared" si="3"/>
        <v/>
      </c>
      <c r="D252" t="str">
        <f>IF(E252="","",TEXT(IF(COUNTIF(E$6:E252,E252)&gt;=1,MATCH(E252,$E$6:$E$1000,0),COUNTA(UNIQUE(E$6:E252))),"0000"))</f>
        <v/>
      </c>
    </row>
    <row r="253" spans="3:4">
      <c r="C253" s="1" t="str">
        <f t="shared" si="3"/>
        <v/>
      </c>
      <c r="D253" t="str">
        <f>IF(E253="","",TEXT(IF(COUNTIF(E$6:E253,E253)&gt;=1,MATCH(E253,$E$6:$E$1000,0),COUNTA(UNIQUE(E$6:E253))),"0000"))</f>
        <v/>
      </c>
    </row>
    <row r="254" spans="3:4">
      <c r="C254" s="1" t="str">
        <f t="shared" si="3"/>
        <v/>
      </c>
      <c r="D254" t="str">
        <f>IF(E254="","",TEXT(IF(COUNTIF(E$6:E254,E254)&gt;=1,MATCH(E254,$E$6:$E$1000,0),COUNTA(UNIQUE(E$6:E254))),"0000"))</f>
        <v/>
      </c>
    </row>
    <row r="255" spans="3:4">
      <c r="C255" s="1" t="str">
        <f t="shared" si="3"/>
        <v/>
      </c>
      <c r="D255" t="str">
        <f>IF(E255="","",TEXT(IF(COUNTIF(E$6:E255,E255)&gt;=1,MATCH(E255,$E$6:$E$1000,0),COUNTA(UNIQUE(E$6:E255))),"0000"))</f>
        <v/>
      </c>
    </row>
    <row r="256" spans="3:4">
      <c r="C256" s="1" t="str">
        <f t="shared" si="3"/>
        <v/>
      </c>
      <c r="D256" t="str">
        <f>IF(E256="","",TEXT(IF(COUNTIF(E$6:E256,E256)&gt;=1,MATCH(E256,$E$6:$E$1000,0),COUNTA(UNIQUE(E$6:E256))),"0000"))</f>
        <v/>
      </c>
    </row>
    <row r="257" spans="3:4">
      <c r="C257" s="1" t="str">
        <f t="shared" si="3"/>
        <v/>
      </c>
      <c r="D257" t="str">
        <f>IF(E257="","",TEXT(IF(COUNTIF(E$6:E257,E257)&gt;=1,MATCH(E257,$E$6:$E$1000,0),COUNTA(UNIQUE(E$6:E257))),"0000"))</f>
        <v/>
      </c>
    </row>
    <row r="258" spans="3:4">
      <c r="C258" s="1" t="str">
        <f t="shared" si="3"/>
        <v/>
      </c>
      <c r="D258" t="str">
        <f>IF(E258="","",TEXT(IF(COUNTIF(E$6:E258,E258)&gt;=1,MATCH(E258,$E$6:$E$1000,0),COUNTA(UNIQUE(E$6:E258))),"0000"))</f>
        <v/>
      </c>
    </row>
    <row r="259" spans="3:4">
      <c r="C259" s="1" t="str">
        <f t="shared" si="3"/>
        <v/>
      </c>
      <c r="D259" t="str">
        <f>IF(E259="","",TEXT(IF(COUNTIF(E$6:E259,E259)&gt;=1,MATCH(E259,$E$6:$E$1000,0),COUNTA(UNIQUE(E$6:E259))),"0000"))</f>
        <v/>
      </c>
    </row>
    <row r="260" spans="3:4">
      <c r="C260" s="1" t="str">
        <f t="shared" si="3"/>
        <v/>
      </c>
      <c r="D260" t="str">
        <f>IF(E260="","",TEXT(IF(COUNTIF(E$6:E260,E260)&gt;=1,MATCH(E260,$E$6:$E$1000,0),COUNTA(UNIQUE(E$6:E260))),"0000"))</f>
        <v/>
      </c>
    </row>
    <row r="261" spans="3:4">
      <c r="C261" s="1" t="str">
        <f t="shared" si="3"/>
        <v/>
      </c>
      <c r="D261" t="str">
        <f>IF(E261="","",TEXT(IF(COUNTIF(E$6:E261,E261)&gt;=1,MATCH(E261,$E$6:$E$1000,0),COUNTA(UNIQUE(E$6:E261))),"0000"))</f>
        <v/>
      </c>
    </row>
    <row r="262" spans="3:4">
      <c r="C262" s="1" t="str">
        <f t="shared" si="3"/>
        <v/>
      </c>
      <c r="D262" t="str">
        <f>IF(E262="","",TEXT(IF(COUNTIF(E$6:E262,E262)&gt;=1,MATCH(E262,$E$6:$E$1000,0),COUNTA(UNIQUE(E$6:E262))),"0000"))</f>
        <v/>
      </c>
    </row>
    <row r="263" spans="3:4">
      <c r="C263" s="1" t="str">
        <f t="shared" ref="C263:C326" si="4">IF(AND(D263="",E263=""),"",ROW(C258))</f>
        <v/>
      </c>
      <c r="D263" t="str">
        <f>IF(E263="","",TEXT(IF(COUNTIF(E$6:E263,E263)&gt;=1,MATCH(E263,$E$6:$E$1000,0),COUNTA(UNIQUE(E$6:E263))),"0000"))</f>
        <v/>
      </c>
    </row>
    <row r="264" spans="3:4">
      <c r="C264" s="1" t="str">
        <f t="shared" si="4"/>
        <v/>
      </c>
      <c r="D264" t="str">
        <f>IF(E264="","",TEXT(IF(COUNTIF(E$6:E264,E264)&gt;=1,MATCH(E264,$E$6:$E$1000,0),COUNTA(UNIQUE(E$6:E264))),"0000"))</f>
        <v/>
      </c>
    </row>
    <row r="265" spans="3:4">
      <c r="C265" s="1" t="str">
        <f t="shared" si="4"/>
        <v/>
      </c>
      <c r="D265" t="str">
        <f>IF(E265="","",TEXT(IF(COUNTIF(E$6:E265,E265)&gt;=1,MATCH(E265,$E$6:$E$1000,0),COUNTA(UNIQUE(E$6:E265))),"0000"))</f>
        <v/>
      </c>
    </row>
    <row r="266" spans="3:4">
      <c r="C266" s="1" t="str">
        <f t="shared" si="4"/>
        <v/>
      </c>
      <c r="D266" t="str">
        <f>IF(E266="","",TEXT(IF(COUNTIF(E$6:E266,E266)&gt;=1,MATCH(E266,$E$6:$E$1000,0),COUNTA(UNIQUE(E$6:E266))),"0000"))</f>
        <v/>
      </c>
    </row>
    <row r="267" spans="3:4">
      <c r="C267" s="1" t="str">
        <f t="shared" si="4"/>
        <v/>
      </c>
      <c r="D267" t="str">
        <f>IF(E267="","",TEXT(IF(COUNTIF(E$6:E267,E267)&gt;=1,MATCH(E267,$E$6:$E$1000,0),COUNTA(UNIQUE(E$6:E267))),"0000"))</f>
        <v/>
      </c>
    </row>
    <row r="268" spans="3:4">
      <c r="C268" s="1" t="str">
        <f t="shared" si="4"/>
        <v/>
      </c>
      <c r="D268" t="str">
        <f>IF(E268="","",TEXT(IF(COUNTIF(E$6:E268,E268)&gt;=1,MATCH(E268,$E$6:$E$1000,0),COUNTA(UNIQUE(E$6:E268))),"0000"))</f>
        <v/>
      </c>
    </row>
    <row r="269" spans="3:4">
      <c r="C269" s="1" t="str">
        <f t="shared" si="4"/>
        <v/>
      </c>
      <c r="D269" t="str">
        <f>IF(E269="","",TEXT(IF(COUNTIF(E$6:E269,E269)&gt;=1,MATCH(E269,$E$6:$E$1000,0),COUNTA(UNIQUE(E$6:E269))),"0000"))</f>
        <v/>
      </c>
    </row>
    <row r="270" spans="3:4">
      <c r="C270" s="1" t="str">
        <f t="shared" si="4"/>
        <v/>
      </c>
      <c r="D270" t="str">
        <f>IF(E270="","",TEXT(IF(COUNTIF(E$6:E270,E270)&gt;=1,MATCH(E270,$E$6:$E$1000,0),COUNTA(UNIQUE(E$6:E270))),"0000"))</f>
        <v/>
      </c>
    </row>
    <row r="271" spans="3:4">
      <c r="C271" s="1" t="str">
        <f t="shared" si="4"/>
        <v/>
      </c>
      <c r="D271" t="str">
        <f>IF(E271="","",TEXT(IF(COUNTIF(E$6:E271,E271)&gt;=1,MATCH(E271,$E$6:$E$1000,0),COUNTA(UNIQUE(E$6:E271))),"0000"))</f>
        <v/>
      </c>
    </row>
    <row r="272" spans="3:4">
      <c r="C272" s="1" t="str">
        <f t="shared" si="4"/>
        <v/>
      </c>
      <c r="D272" t="str">
        <f>IF(E272="","",TEXT(IF(COUNTIF(E$6:E272,E272)&gt;=1,MATCH(E272,$E$6:$E$1000,0),COUNTA(UNIQUE(E$6:E272))),"0000"))</f>
        <v/>
      </c>
    </row>
    <row r="273" spans="3:4">
      <c r="C273" s="1" t="str">
        <f t="shared" si="4"/>
        <v/>
      </c>
      <c r="D273" t="str">
        <f>IF(E273="","",TEXT(IF(COUNTIF(E$6:E273,E273)&gt;=1,MATCH(E273,$E$6:$E$1000,0),COUNTA(UNIQUE(E$6:E273))),"0000"))</f>
        <v/>
      </c>
    </row>
    <row r="274" spans="3:4">
      <c r="C274" s="1" t="str">
        <f t="shared" si="4"/>
        <v/>
      </c>
      <c r="D274" t="str">
        <f>IF(E274="","",TEXT(IF(COUNTIF(E$6:E274,E274)&gt;=1,MATCH(E274,$E$6:$E$1000,0),COUNTA(UNIQUE(E$6:E274))),"0000"))</f>
        <v/>
      </c>
    </row>
    <row r="275" spans="3:4">
      <c r="C275" s="1" t="str">
        <f t="shared" si="4"/>
        <v/>
      </c>
      <c r="D275" t="str">
        <f>IF(E275="","",TEXT(IF(COUNTIF(E$6:E275,E275)&gt;=1,MATCH(E275,$E$6:$E$1000,0),COUNTA(UNIQUE(E$6:E275))),"0000"))</f>
        <v/>
      </c>
    </row>
    <row r="276" spans="3:4">
      <c r="C276" s="1" t="str">
        <f t="shared" si="4"/>
        <v/>
      </c>
      <c r="D276" t="str">
        <f>IF(E276="","",TEXT(IF(COUNTIF(E$6:E276,E276)&gt;=1,MATCH(E276,$E$6:$E$1000,0),COUNTA(UNIQUE(E$6:E276))),"0000"))</f>
        <v/>
      </c>
    </row>
    <row r="277" spans="3:4">
      <c r="C277" s="1" t="str">
        <f t="shared" si="4"/>
        <v/>
      </c>
      <c r="D277" t="str">
        <f>IF(E277="","",TEXT(IF(COUNTIF(E$6:E277,E277)&gt;=1,MATCH(E277,$E$6:$E$1000,0),COUNTA(UNIQUE(E$6:E277))),"0000"))</f>
        <v/>
      </c>
    </row>
    <row r="278" spans="3:4">
      <c r="C278" s="1" t="str">
        <f t="shared" si="4"/>
        <v/>
      </c>
      <c r="D278" t="str">
        <f>IF(E278="","",TEXT(IF(COUNTIF(E$6:E278,E278)&gt;=1,MATCH(E278,$E$6:$E$1000,0),COUNTA(UNIQUE(E$6:E278))),"0000"))</f>
        <v/>
      </c>
    </row>
    <row r="279" spans="3:4">
      <c r="C279" s="1" t="str">
        <f t="shared" si="4"/>
        <v/>
      </c>
      <c r="D279" t="str">
        <f>IF(E279="","",TEXT(IF(COUNTIF(E$6:E279,E279)&gt;=1,MATCH(E279,$E$6:$E$1000,0),COUNTA(UNIQUE(E$6:E279))),"0000"))</f>
        <v/>
      </c>
    </row>
    <row r="280" spans="3:4">
      <c r="C280" s="1" t="str">
        <f t="shared" si="4"/>
        <v/>
      </c>
      <c r="D280" t="str">
        <f>IF(E280="","",TEXT(IF(COUNTIF(E$6:E280,E280)&gt;=1,MATCH(E280,$E$6:$E$1000,0),COUNTA(UNIQUE(E$6:E280))),"0000"))</f>
        <v/>
      </c>
    </row>
    <row r="281" spans="3:4">
      <c r="C281" s="1" t="str">
        <f t="shared" si="4"/>
        <v/>
      </c>
      <c r="D281" t="str">
        <f>IF(E281="","",TEXT(IF(COUNTIF(E$6:E281,E281)&gt;=1,MATCH(E281,$E$6:$E$1000,0),COUNTA(UNIQUE(E$6:E281))),"0000"))</f>
        <v/>
      </c>
    </row>
    <row r="282" spans="3:4">
      <c r="C282" s="1" t="str">
        <f t="shared" si="4"/>
        <v/>
      </c>
      <c r="D282" t="str">
        <f>IF(E282="","",TEXT(IF(COUNTIF(E$6:E282,E282)&gt;=1,MATCH(E282,$E$6:$E$1000,0),COUNTA(UNIQUE(E$6:E282))),"0000"))</f>
        <v/>
      </c>
    </row>
    <row r="283" spans="3:4">
      <c r="C283" s="1" t="str">
        <f t="shared" si="4"/>
        <v/>
      </c>
      <c r="D283" t="str">
        <f>IF(E283="","",TEXT(IF(COUNTIF(E$6:E283,E283)&gt;=1,MATCH(E283,$E$6:$E$1000,0),COUNTA(UNIQUE(E$6:E283))),"0000"))</f>
        <v/>
      </c>
    </row>
    <row r="284" spans="3:4">
      <c r="C284" s="1" t="str">
        <f t="shared" si="4"/>
        <v/>
      </c>
      <c r="D284" t="str">
        <f>IF(E284="","",TEXT(IF(COUNTIF(E$6:E284,E284)&gt;=1,MATCH(E284,$E$6:$E$1000,0),COUNTA(UNIQUE(E$6:E284))),"0000"))</f>
        <v/>
      </c>
    </row>
    <row r="285" spans="3:4">
      <c r="C285" s="1" t="str">
        <f t="shared" si="4"/>
        <v/>
      </c>
      <c r="D285" t="str">
        <f>IF(E285="","",TEXT(IF(COUNTIF(E$6:E285,E285)&gt;=1,MATCH(E285,$E$6:$E$1000,0),COUNTA(UNIQUE(E$6:E285))),"0000"))</f>
        <v/>
      </c>
    </row>
    <row r="286" spans="3:4">
      <c r="C286" s="1" t="str">
        <f t="shared" si="4"/>
        <v/>
      </c>
      <c r="D286" t="str">
        <f>IF(E286="","",TEXT(IF(COUNTIF(E$6:E286,E286)&gt;=1,MATCH(E286,$E$6:$E$1000,0),COUNTA(UNIQUE(E$6:E286))),"0000"))</f>
        <v/>
      </c>
    </row>
    <row r="287" spans="3:4">
      <c r="C287" s="1" t="str">
        <f t="shared" si="4"/>
        <v/>
      </c>
      <c r="D287" t="str">
        <f>IF(E287="","",TEXT(IF(COUNTIF(E$6:E287,E287)&gt;=1,MATCH(E287,$E$6:$E$1000,0),COUNTA(UNIQUE(E$6:E287))),"0000"))</f>
        <v/>
      </c>
    </row>
    <row r="288" spans="3:4">
      <c r="C288" s="1" t="str">
        <f t="shared" si="4"/>
        <v/>
      </c>
      <c r="D288" t="str">
        <f>IF(E288="","",TEXT(IF(COUNTIF(E$6:E288,E288)&gt;=1,MATCH(E288,$E$6:$E$1000,0),COUNTA(UNIQUE(E$6:E288))),"0000"))</f>
        <v/>
      </c>
    </row>
    <row r="289" spans="3:4">
      <c r="C289" s="1" t="str">
        <f t="shared" si="4"/>
        <v/>
      </c>
      <c r="D289" t="str">
        <f>IF(E289="","",TEXT(IF(COUNTIF(E$6:E289,E289)&gt;=1,MATCH(E289,$E$6:$E$1000,0),COUNTA(UNIQUE(E$6:E289))),"0000"))</f>
        <v/>
      </c>
    </row>
    <row r="290" spans="3:4">
      <c r="C290" s="1" t="str">
        <f t="shared" si="4"/>
        <v/>
      </c>
      <c r="D290" t="str">
        <f>IF(E290="","",TEXT(IF(COUNTIF(E$6:E290,E290)&gt;=1,MATCH(E290,$E$6:$E$1000,0),COUNTA(UNIQUE(E$6:E290))),"0000"))</f>
        <v/>
      </c>
    </row>
    <row r="291" spans="3:4">
      <c r="C291" s="1" t="str">
        <f t="shared" si="4"/>
        <v/>
      </c>
      <c r="D291" t="str">
        <f>IF(E291="","",TEXT(IF(COUNTIF(E$6:E291,E291)&gt;=1,MATCH(E291,$E$6:$E$1000,0),COUNTA(UNIQUE(E$6:E291))),"0000"))</f>
        <v/>
      </c>
    </row>
    <row r="292" spans="3:4">
      <c r="C292" s="1" t="str">
        <f t="shared" si="4"/>
        <v/>
      </c>
      <c r="D292" t="str">
        <f>IF(E292="","",TEXT(IF(COUNTIF(E$6:E292,E292)&gt;=1,MATCH(E292,$E$6:$E$1000,0),COUNTA(UNIQUE(E$6:E292))),"0000"))</f>
        <v/>
      </c>
    </row>
    <row r="293" spans="3:4">
      <c r="C293" s="1" t="str">
        <f t="shared" si="4"/>
        <v/>
      </c>
      <c r="D293" t="str">
        <f>IF(E293="","",TEXT(IF(COUNTIF(E$6:E293,E293)&gt;=1,MATCH(E293,$E$6:$E$1000,0),COUNTA(UNIQUE(E$6:E293))),"0000"))</f>
        <v/>
      </c>
    </row>
    <row r="294" spans="3:4">
      <c r="C294" s="1" t="str">
        <f t="shared" si="4"/>
        <v/>
      </c>
      <c r="D294" t="str">
        <f>IF(E294="","",TEXT(IF(COUNTIF(E$6:E294,E294)&gt;=1,MATCH(E294,$E$6:$E$1000,0),COUNTA(UNIQUE(E$6:E294))),"0000"))</f>
        <v/>
      </c>
    </row>
    <row r="295" spans="3:4">
      <c r="C295" s="1" t="str">
        <f t="shared" si="4"/>
        <v/>
      </c>
      <c r="D295" t="str">
        <f>IF(E295="","",TEXT(IF(COUNTIF(E$6:E295,E295)&gt;=1,MATCH(E295,$E$6:$E$1000,0),COUNTA(UNIQUE(E$6:E295))),"0000"))</f>
        <v/>
      </c>
    </row>
    <row r="296" spans="3:4">
      <c r="C296" s="1" t="str">
        <f t="shared" si="4"/>
        <v/>
      </c>
      <c r="D296" t="str">
        <f>IF(E296="","",TEXT(IF(COUNTIF(E$6:E296,E296)&gt;=1,MATCH(E296,$E$6:$E$1000,0),COUNTA(UNIQUE(E$6:E296))),"0000"))</f>
        <v/>
      </c>
    </row>
    <row r="297" spans="3:4">
      <c r="C297" s="1" t="str">
        <f t="shared" si="4"/>
        <v/>
      </c>
      <c r="D297" t="str">
        <f>IF(E297="","",TEXT(IF(COUNTIF(E$6:E297,E297)&gt;=1,MATCH(E297,$E$6:$E$1000,0),COUNTA(UNIQUE(E$6:E297))),"0000"))</f>
        <v/>
      </c>
    </row>
    <row r="298" spans="3:4">
      <c r="C298" s="1" t="str">
        <f t="shared" si="4"/>
        <v/>
      </c>
      <c r="D298" t="str">
        <f>IF(E298="","",TEXT(IF(COUNTIF(E$6:E298,E298)&gt;=1,MATCH(E298,$E$6:$E$1000,0),COUNTA(UNIQUE(E$6:E298))),"0000"))</f>
        <v/>
      </c>
    </row>
    <row r="299" spans="3:4">
      <c r="C299" s="1" t="str">
        <f t="shared" si="4"/>
        <v/>
      </c>
      <c r="D299" t="str">
        <f>IF(E299="","",TEXT(IF(COUNTIF(E$6:E299,E299)&gt;=1,MATCH(E299,$E$6:$E$1000,0),COUNTA(UNIQUE(E$6:E299))),"0000"))</f>
        <v/>
      </c>
    </row>
    <row r="300" spans="3:4">
      <c r="C300" s="1" t="str">
        <f t="shared" si="4"/>
        <v/>
      </c>
      <c r="D300" t="str">
        <f>IF(E300="","",TEXT(IF(COUNTIF(E$6:E300,E300)&gt;=1,MATCH(E300,$E$6:$E$1000,0),COUNTA(UNIQUE(E$6:E300))),"0000"))</f>
        <v/>
      </c>
    </row>
    <row r="301" spans="3:4">
      <c r="C301" s="1" t="str">
        <f t="shared" si="4"/>
        <v/>
      </c>
      <c r="D301" t="str">
        <f>IF(E301="","",TEXT(IF(COUNTIF(E$6:E301,E301)&gt;=1,MATCH(E301,$E$6:$E$1000,0),COUNTA(UNIQUE(E$6:E301))),"0000"))</f>
        <v/>
      </c>
    </row>
    <row r="302" spans="3:4">
      <c r="C302" s="1" t="str">
        <f t="shared" si="4"/>
        <v/>
      </c>
      <c r="D302" t="str">
        <f>IF(E302="","",TEXT(IF(COUNTIF(E$6:E302,E302)&gt;=1,MATCH(E302,$E$6:$E$1000,0),COUNTA(UNIQUE(E$6:E302))),"0000"))</f>
        <v/>
      </c>
    </row>
    <row r="303" spans="3:4">
      <c r="C303" s="1" t="str">
        <f t="shared" si="4"/>
        <v/>
      </c>
      <c r="D303" t="str">
        <f>IF(E303="","",TEXT(IF(COUNTIF(E$6:E303,E303)&gt;=1,MATCH(E303,$E$6:$E$1000,0),COUNTA(UNIQUE(E$6:E303))),"0000"))</f>
        <v/>
      </c>
    </row>
    <row r="304" spans="3:4">
      <c r="C304" s="1" t="str">
        <f t="shared" si="4"/>
        <v/>
      </c>
      <c r="D304" t="str">
        <f>IF(E304="","",TEXT(IF(COUNTIF(E$6:E304,E304)&gt;=1,MATCH(E304,$E$6:$E$1000,0),COUNTA(UNIQUE(E$6:E304))),"0000"))</f>
        <v/>
      </c>
    </row>
    <row r="305" spans="3:4">
      <c r="C305" s="1" t="str">
        <f t="shared" si="4"/>
        <v/>
      </c>
      <c r="D305" t="str">
        <f>IF(E305="","",TEXT(IF(COUNTIF(E$6:E305,E305)&gt;=1,MATCH(E305,$E$6:$E$1000,0),COUNTA(UNIQUE(E$6:E305))),"0000"))</f>
        <v/>
      </c>
    </row>
    <row r="306" spans="3:4">
      <c r="C306" s="1" t="str">
        <f t="shared" si="4"/>
        <v/>
      </c>
      <c r="D306" t="str">
        <f>IF(E306="","",TEXT(IF(COUNTIF(E$6:E306,E306)&gt;=1,MATCH(E306,$E$6:$E$1000,0),COUNTA(UNIQUE(E$6:E306))),"0000"))</f>
        <v/>
      </c>
    </row>
    <row r="307" spans="3:4">
      <c r="C307" s="1" t="str">
        <f t="shared" si="4"/>
        <v/>
      </c>
      <c r="D307" t="str">
        <f>IF(E307="","",TEXT(IF(COUNTIF(E$6:E307,E307)&gt;=1,MATCH(E307,$E$6:$E$1000,0),COUNTA(UNIQUE(E$6:E307))),"0000"))</f>
        <v/>
      </c>
    </row>
    <row r="308" spans="3:4">
      <c r="C308" s="1" t="str">
        <f t="shared" si="4"/>
        <v/>
      </c>
      <c r="D308" t="str">
        <f>IF(E308="","",TEXT(IF(COUNTIF(E$6:E308,E308)&gt;=1,MATCH(E308,$E$6:$E$1000,0),COUNTA(UNIQUE(E$6:E308))),"0000"))</f>
        <v/>
      </c>
    </row>
    <row r="309" spans="3:4">
      <c r="C309" s="1" t="str">
        <f t="shared" si="4"/>
        <v/>
      </c>
      <c r="D309" t="str">
        <f>IF(E309="","",TEXT(IF(COUNTIF(E$6:E309,E309)&gt;=1,MATCH(E309,$E$6:$E$1000,0),COUNTA(UNIQUE(E$6:E309))),"0000"))</f>
        <v/>
      </c>
    </row>
    <row r="310" spans="3:4">
      <c r="C310" s="1" t="str">
        <f t="shared" si="4"/>
        <v/>
      </c>
      <c r="D310" t="str">
        <f>IF(E310="","",TEXT(IF(COUNTIF(E$6:E310,E310)&gt;=1,MATCH(E310,$E$6:$E$1000,0),COUNTA(UNIQUE(E$6:E310))),"0000"))</f>
        <v/>
      </c>
    </row>
    <row r="311" spans="3:4">
      <c r="C311" s="1" t="str">
        <f t="shared" si="4"/>
        <v/>
      </c>
      <c r="D311" t="str">
        <f>IF(E311="","",TEXT(IF(COUNTIF(E$6:E311,E311)&gt;=1,MATCH(E311,$E$6:$E$1000,0),COUNTA(UNIQUE(E$6:E311))),"0000"))</f>
        <v/>
      </c>
    </row>
    <row r="312" spans="3:4">
      <c r="C312" s="1" t="str">
        <f t="shared" si="4"/>
        <v/>
      </c>
      <c r="D312" t="str">
        <f>IF(E312="","",TEXT(IF(COUNTIF(E$6:E312,E312)&gt;=1,MATCH(E312,$E$6:$E$1000,0),COUNTA(UNIQUE(E$6:E312))),"0000"))</f>
        <v/>
      </c>
    </row>
    <row r="313" spans="3:4">
      <c r="C313" s="1" t="str">
        <f t="shared" si="4"/>
        <v/>
      </c>
      <c r="D313" t="str">
        <f>IF(E313="","",TEXT(IF(COUNTIF(E$6:E313,E313)&gt;=1,MATCH(E313,$E$6:$E$1000,0),COUNTA(UNIQUE(E$6:E313))),"0000"))</f>
        <v/>
      </c>
    </row>
    <row r="314" spans="3:4">
      <c r="C314" s="1" t="str">
        <f t="shared" si="4"/>
        <v/>
      </c>
      <c r="D314" t="str">
        <f>IF(E314="","",TEXT(IF(COUNTIF(E$6:E314,E314)&gt;=1,MATCH(E314,$E$6:$E$1000,0),COUNTA(UNIQUE(E$6:E314))),"0000"))</f>
        <v/>
      </c>
    </row>
    <row r="315" spans="3:4">
      <c r="C315" s="1" t="str">
        <f t="shared" si="4"/>
        <v/>
      </c>
      <c r="D315" t="str">
        <f>IF(E315="","",TEXT(IF(COUNTIF(E$6:E315,E315)&gt;=1,MATCH(E315,$E$6:$E$1000,0),COUNTA(UNIQUE(E$6:E315))),"0000"))</f>
        <v/>
      </c>
    </row>
    <row r="316" spans="3:4">
      <c r="C316" s="1" t="str">
        <f t="shared" si="4"/>
        <v/>
      </c>
      <c r="D316" t="str">
        <f>IF(E316="","",TEXT(IF(COUNTIF(E$6:E316,E316)&gt;=1,MATCH(E316,$E$6:$E$1000,0),COUNTA(UNIQUE(E$6:E316))),"0000"))</f>
        <v/>
      </c>
    </row>
    <row r="317" spans="3:4">
      <c r="C317" s="1" t="str">
        <f t="shared" si="4"/>
        <v/>
      </c>
      <c r="D317" t="str">
        <f>IF(E317="","",TEXT(IF(COUNTIF(E$6:E317,E317)&gt;=1,MATCH(E317,$E$6:$E$1000,0),COUNTA(UNIQUE(E$6:E317))),"0000"))</f>
        <v/>
      </c>
    </row>
    <row r="318" spans="3:4">
      <c r="C318" s="1" t="str">
        <f t="shared" si="4"/>
        <v/>
      </c>
      <c r="D318" t="str">
        <f>IF(E318="","",TEXT(IF(COUNTIF(E$6:E318,E318)&gt;=1,MATCH(E318,$E$6:$E$1000,0),COUNTA(UNIQUE(E$6:E318))),"0000"))</f>
        <v/>
      </c>
    </row>
    <row r="319" spans="3:4">
      <c r="C319" s="1" t="str">
        <f t="shared" si="4"/>
        <v/>
      </c>
      <c r="D319" t="str">
        <f>IF(E319="","",TEXT(IF(COUNTIF(E$6:E319,E319)&gt;=1,MATCH(E319,$E$6:$E$1000,0),COUNTA(UNIQUE(E$6:E319))),"0000"))</f>
        <v/>
      </c>
    </row>
    <row r="320" spans="3:4">
      <c r="C320" s="1" t="str">
        <f t="shared" si="4"/>
        <v/>
      </c>
      <c r="D320" t="str">
        <f>IF(E320="","",TEXT(IF(COUNTIF(E$6:E320,E320)&gt;=1,MATCH(E320,$E$6:$E$1000,0),COUNTA(UNIQUE(E$6:E320))),"0000"))</f>
        <v/>
      </c>
    </row>
    <row r="321" spans="3:4">
      <c r="C321" s="1" t="str">
        <f t="shared" si="4"/>
        <v/>
      </c>
      <c r="D321" t="str">
        <f>IF(E321="","",TEXT(IF(COUNTIF(E$6:E321,E321)&gt;=1,MATCH(E321,$E$6:$E$1000,0),COUNTA(UNIQUE(E$6:E321))),"0000"))</f>
        <v/>
      </c>
    </row>
    <row r="322" spans="3:4">
      <c r="C322" s="1" t="str">
        <f t="shared" si="4"/>
        <v/>
      </c>
      <c r="D322" t="str">
        <f>IF(E322="","",TEXT(IF(COUNTIF(E$6:E322,E322)&gt;=1,MATCH(E322,$E$6:$E$1000,0),COUNTA(UNIQUE(E$6:E322))),"0000"))</f>
        <v/>
      </c>
    </row>
    <row r="323" spans="3:4">
      <c r="C323" s="1" t="str">
        <f t="shared" si="4"/>
        <v/>
      </c>
      <c r="D323" t="str">
        <f>IF(E323="","",TEXT(IF(COUNTIF(E$6:E323,E323)&gt;=1,MATCH(E323,$E$6:$E$1000,0),COUNTA(UNIQUE(E$6:E323))),"0000"))</f>
        <v/>
      </c>
    </row>
    <row r="324" spans="3:4">
      <c r="C324" s="1" t="str">
        <f t="shared" si="4"/>
        <v/>
      </c>
      <c r="D324" t="str">
        <f>IF(E324="","",TEXT(IF(COUNTIF(E$6:E324,E324)&gt;=1,MATCH(E324,$E$6:$E$1000,0),COUNTA(UNIQUE(E$6:E324))),"0000"))</f>
        <v/>
      </c>
    </row>
    <row r="325" spans="3:4">
      <c r="C325" s="1" t="str">
        <f t="shared" si="4"/>
        <v/>
      </c>
      <c r="D325" t="str">
        <f>IF(E325="","",TEXT(IF(COUNTIF(E$6:E325,E325)&gt;=1,MATCH(E325,$E$6:$E$1000,0),COUNTA(UNIQUE(E$6:E325))),"0000"))</f>
        <v/>
      </c>
    </row>
    <row r="326" spans="3:4">
      <c r="C326" s="1" t="str">
        <f t="shared" si="4"/>
        <v/>
      </c>
      <c r="D326" t="str">
        <f>IF(E326="","",TEXT(IF(COUNTIF(E$6:E326,E326)&gt;=1,MATCH(E326,$E$6:$E$1000,0),COUNTA(UNIQUE(E$6:E326))),"0000"))</f>
        <v/>
      </c>
    </row>
    <row r="327" spans="3:4">
      <c r="C327" s="1" t="str">
        <f t="shared" ref="C327:C390" si="5">IF(AND(D327="",E327=""),"",ROW(C322))</f>
        <v/>
      </c>
      <c r="D327" t="str">
        <f>IF(E327="","",TEXT(IF(COUNTIF(E$6:E327,E327)&gt;=1,MATCH(E327,$E$6:$E$1000,0),COUNTA(UNIQUE(E$6:E327))),"0000"))</f>
        <v/>
      </c>
    </row>
    <row r="328" spans="3:4">
      <c r="C328" s="1" t="str">
        <f t="shared" si="5"/>
        <v/>
      </c>
      <c r="D328" t="str">
        <f>IF(E328="","",TEXT(IF(COUNTIF(E$6:E328,E328)&gt;=1,MATCH(E328,$E$6:$E$1000,0),COUNTA(UNIQUE(E$6:E328))),"0000"))</f>
        <v/>
      </c>
    </row>
    <row r="329" spans="3:4">
      <c r="C329" s="1" t="str">
        <f t="shared" si="5"/>
        <v/>
      </c>
      <c r="D329" t="str">
        <f>IF(E329="","",TEXT(IF(COUNTIF(E$6:E329,E329)&gt;=1,MATCH(E329,$E$6:$E$1000,0),COUNTA(UNIQUE(E$6:E329))),"0000"))</f>
        <v/>
      </c>
    </row>
    <row r="330" spans="3:4">
      <c r="C330" s="1" t="str">
        <f t="shared" si="5"/>
        <v/>
      </c>
      <c r="D330" t="str">
        <f>IF(E330="","",TEXT(IF(COUNTIF(E$6:E330,E330)&gt;=1,MATCH(E330,$E$6:$E$1000,0),COUNTA(UNIQUE(E$6:E330))),"0000"))</f>
        <v/>
      </c>
    </row>
    <row r="331" spans="3:4">
      <c r="C331" s="1" t="str">
        <f t="shared" si="5"/>
        <v/>
      </c>
      <c r="D331" t="str">
        <f>IF(E331="","",TEXT(IF(COUNTIF(E$6:E331,E331)&gt;=1,MATCH(E331,$E$6:$E$1000,0),COUNTA(UNIQUE(E$6:E331))),"0000"))</f>
        <v/>
      </c>
    </row>
    <row r="332" spans="3:4">
      <c r="C332" s="1" t="str">
        <f t="shared" si="5"/>
        <v/>
      </c>
      <c r="D332" t="str">
        <f>IF(E332="","",TEXT(IF(COUNTIF(E$6:E332,E332)&gt;=1,MATCH(E332,$E$6:$E$1000,0),COUNTA(UNIQUE(E$6:E332))),"0000"))</f>
        <v/>
      </c>
    </row>
    <row r="333" spans="3:4">
      <c r="C333" s="1" t="str">
        <f t="shared" si="5"/>
        <v/>
      </c>
      <c r="D333" t="str">
        <f>IF(E333="","",TEXT(IF(COUNTIF(E$6:E333,E333)&gt;=1,MATCH(E333,$E$6:$E$1000,0),COUNTA(UNIQUE(E$6:E333))),"0000"))</f>
        <v/>
      </c>
    </row>
    <row r="334" spans="3:4">
      <c r="C334" s="1" t="str">
        <f t="shared" si="5"/>
        <v/>
      </c>
      <c r="D334" t="str">
        <f>IF(E334="","",TEXT(IF(COUNTIF(E$6:E334,E334)&gt;=1,MATCH(E334,$E$6:$E$1000,0),COUNTA(UNIQUE(E$6:E334))),"0000"))</f>
        <v/>
      </c>
    </row>
    <row r="335" spans="3:4">
      <c r="C335" s="1" t="str">
        <f t="shared" si="5"/>
        <v/>
      </c>
      <c r="D335" t="str">
        <f>IF(E335="","",TEXT(IF(COUNTIF(E$6:E335,E335)&gt;=1,MATCH(E335,$E$6:$E$1000,0),COUNTA(UNIQUE(E$6:E335))),"0000"))</f>
        <v/>
      </c>
    </row>
    <row r="336" spans="3:4">
      <c r="C336" s="1" t="str">
        <f t="shared" si="5"/>
        <v/>
      </c>
      <c r="D336" t="str">
        <f>IF(E336="","",TEXT(IF(COUNTIF(E$6:E336,E336)&gt;=1,MATCH(E336,$E$6:$E$1000,0),COUNTA(UNIQUE(E$6:E336))),"0000"))</f>
        <v/>
      </c>
    </row>
    <row r="337" spans="3:4">
      <c r="C337" s="1" t="str">
        <f t="shared" si="5"/>
        <v/>
      </c>
      <c r="D337" t="str">
        <f>IF(E337="","",TEXT(IF(COUNTIF(E$6:E337,E337)&gt;=1,MATCH(E337,$E$6:$E$1000,0),COUNTA(UNIQUE(E$6:E337))),"0000"))</f>
        <v/>
      </c>
    </row>
    <row r="338" spans="3:4">
      <c r="C338" s="1" t="str">
        <f t="shared" si="5"/>
        <v/>
      </c>
      <c r="D338" t="str">
        <f>IF(E338="","",TEXT(IF(COUNTIF(E$6:E338,E338)&gt;=1,MATCH(E338,$E$6:$E$1000,0),COUNTA(UNIQUE(E$6:E338))),"0000"))</f>
        <v/>
      </c>
    </row>
    <row r="339" spans="3:4">
      <c r="C339" s="1" t="str">
        <f t="shared" si="5"/>
        <v/>
      </c>
      <c r="D339" t="str">
        <f>IF(E339="","",TEXT(IF(COUNTIF(E$6:E339,E339)&gt;=1,MATCH(E339,$E$6:$E$1000,0),COUNTA(UNIQUE(E$6:E339))),"0000"))</f>
        <v/>
      </c>
    </row>
    <row r="340" spans="3:4">
      <c r="C340" s="1" t="str">
        <f t="shared" si="5"/>
        <v/>
      </c>
      <c r="D340" t="str">
        <f>IF(E340="","",TEXT(IF(COUNTIF(E$6:E340,E340)&gt;=1,MATCH(E340,$E$6:$E$1000,0),COUNTA(UNIQUE(E$6:E340))),"0000"))</f>
        <v/>
      </c>
    </row>
    <row r="341" spans="3:4">
      <c r="C341" s="1" t="str">
        <f t="shared" si="5"/>
        <v/>
      </c>
      <c r="D341" t="str">
        <f>IF(E341="","",TEXT(IF(COUNTIF(E$6:E341,E341)&gt;=1,MATCH(E341,$E$6:$E$1000,0),COUNTA(UNIQUE(E$6:E341))),"0000"))</f>
        <v/>
      </c>
    </row>
    <row r="342" spans="3:4">
      <c r="C342" s="1" t="str">
        <f t="shared" si="5"/>
        <v/>
      </c>
      <c r="D342" t="str">
        <f>IF(E342="","",TEXT(IF(COUNTIF(E$6:E342,E342)&gt;=1,MATCH(E342,$E$6:$E$1000,0),COUNTA(UNIQUE(E$6:E342))),"0000"))</f>
        <v/>
      </c>
    </row>
    <row r="343" spans="3:4">
      <c r="C343" s="1" t="str">
        <f t="shared" si="5"/>
        <v/>
      </c>
      <c r="D343" t="str">
        <f>IF(E343="","",TEXT(IF(COUNTIF(E$6:E343,E343)&gt;=1,MATCH(E343,$E$6:$E$1000,0),COUNTA(UNIQUE(E$6:E343))),"0000"))</f>
        <v/>
      </c>
    </row>
    <row r="344" spans="3:4">
      <c r="C344" s="1" t="str">
        <f t="shared" si="5"/>
        <v/>
      </c>
      <c r="D344" t="str">
        <f>IF(E344="","",TEXT(IF(COUNTIF(E$6:E344,E344)&gt;=1,MATCH(E344,$E$6:$E$1000,0),COUNTA(UNIQUE(E$6:E344))),"0000"))</f>
        <v/>
      </c>
    </row>
    <row r="345" spans="3:4">
      <c r="C345" s="1" t="str">
        <f t="shared" si="5"/>
        <v/>
      </c>
      <c r="D345" t="str">
        <f>IF(E345="","",TEXT(IF(COUNTIF(E$6:E345,E345)&gt;=1,MATCH(E345,$E$6:$E$1000,0),COUNTA(UNIQUE(E$6:E345))),"0000"))</f>
        <v/>
      </c>
    </row>
    <row r="346" spans="3:4">
      <c r="C346" s="1" t="str">
        <f t="shared" si="5"/>
        <v/>
      </c>
      <c r="D346" t="str">
        <f>IF(E346="","",TEXT(IF(COUNTIF(E$6:E346,E346)&gt;=1,MATCH(E346,$E$6:$E$1000,0),COUNTA(UNIQUE(E$6:E346))),"0000"))</f>
        <v/>
      </c>
    </row>
    <row r="347" spans="3:4">
      <c r="C347" s="1" t="str">
        <f t="shared" si="5"/>
        <v/>
      </c>
      <c r="D347" t="str">
        <f>IF(E347="","",TEXT(IF(COUNTIF(E$6:E347,E347)&gt;=1,MATCH(E347,$E$6:$E$1000,0),COUNTA(UNIQUE(E$6:E347))),"0000"))</f>
        <v/>
      </c>
    </row>
    <row r="348" spans="3:4">
      <c r="C348" s="1" t="str">
        <f t="shared" si="5"/>
        <v/>
      </c>
      <c r="D348" t="str">
        <f>IF(E348="","",TEXT(IF(COUNTIF(E$6:E348,E348)&gt;=1,MATCH(E348,$E$6:$E$1000,0),COUNTA(UNIQUE(E$6:E348))),"0000"))</f>
        <v/>
      </c>
    </row>
    <row r="349" spans="3:4">
      <c r="C349" s="1" t="str">
        <f t="shared" si="5"/>
        <v/>
      </c>
      <c r="D349" t="str">
        <f>IF(E349="","",TEXT(IF(COUNTIF(E$6:E349,E349)&gt;=1,MATCH(E349,$E$6:$E$1000,0),COUNTA(UNIQUE(E$6:E349))),"0000"))</f>
        <v/>
      </c>
    </row>
    <row r="350" spans="3:4">
      <c r="C350" s="1" t="str">
        <f t="shared" si="5"/>
        <v/>
      </c>
      <c r="D350" t="str">
        <f>IF(E350="","",TEXT(IF(COUNTIF(E$6:E350,E350)&gt;=1,MATCH(E350,$E$6:$E$1000,0),COUNTA(UNIQUE(E$6:E350))),"0000"))</f>
        <v/>
      </c>
    </row>
    <row r="351" spans="3:4">
      <c r="C351" s="1" t="str">
        <f t="shared" si="5"/>
        <v/>
      </c>
      <c r="D351" t="str">
        <f>IF(E351="","",TEXT(IF(COUNTIF(E$6:E351,E351)&gt;=1,MATCH(E351,$E$6:$E$1000,0),COUNTA(UNIQUE(E$6:E351))),"0000"))</f>
        <v/>
      </c>
    </row>
    <row r="352" spans="3:4">
      <c r="C352" s="1" t="str">
        <f t="shared" si="5"/>
        <v/>
      </c>
      <c r="D352" t="str">
        <f>IF(E352="","",TEXT(IF(COUNTIF(E$6:E352,E352)&gt;=1,MATCH(E352,$E$6:$E$1000,0),COUNTA(UNIQUE(E$6:E352))),"0000"))</f>
        <v/>
      </c>
    </row>
    <row r="353" spans="3:4">
      <c r="C353" s="1" t="str">
        <f t="shared" si="5"/>
        <v/>
      </c>
      <c r="D353" t="str">
        <f>IF(E353="","",TEXT(IF(COUNTIF(E$6:E353,E353)&gt;=1,MATCH(E353,$E$6:$E$1000,0),COUNTA(UNIQUE(E$6:E353))),"0000"))</f>
        <v/>
      </c>
    </row>
    <row r="354" spans="3:4">
      <c r="C354" s="1" t="str">
        <f t="shared" si="5"/>
        <v/>
      </c>
      <c r="D354" t="str">
        <f>IF(E354="","",TEXT(IF(COUNTIF(E$6:E354,E354)&gt;=1,MATCH(E354,$E$6:$E$1000,0),COUNTA(UNIQUE(E$6:E354))),"0000"))</f>
        <v/>
      </c>
    </row>
    <row r="355" spans="3:4">
      <c r="C355" s="1" t="str">
        <f t="shared" si="5"/>
        <v/>
      </c>
      <c r="D355" t="str">
        <f>IF(E355="","",TEXT(IF(COUNTIF(E$6:E355,E355)&gt;=1,MATCH(E355,$E$6:$E$1000,0),COUNTA(UNIQUE(E$6:E355))),"0000"))</f>
        <v/>
      </c>
    </row>
    <row r="356" spans="3:4">
      <c r="C356" s="1" t="str">
        <f t="shared" si="5"/>
        <v/>
      </c>
      <c r="D356" t="str">
        <f>IF(E356="","",TEXT(IF(COUNTIF(E$6:E356,E356)&gt;=1,MATCH(E356,$E$6:$E$1000,0),COUNTA(UNIQUE(E$6:E356))),"0000"))</f>
        <v/>
      </c>
    </row>
    <row r="357" spans="3:4">
      <c r="C357" s="1" t="str">
        <f t="shared" si="5"/>
        <v/>
      </c>
      <c r="D357" t="str">
        <f>IF(E357="","",TEXT(IF(COUNTIF(E$6:E357,E357)&gt;=1,MATCH(E357,$E$6:$E$1000,0),COUNTA(UNIQUE(E$6:E357))),"0000"))</f>
        <v/>
      </c>
    </row>
    <row r="358" spans="3:4">
      <c r="C358" s="1" t="str">
        <f t="shared" si="5"/>
        <v/>
      </c>
      <c r="D358" t="str">
        <f>IF(E358="","",TEXT(IF(COUNTIF(E$6:E358,E358)&gt;=1,MATCH(E358,$E$6:$E$1000,0),COUNTA(UNIQUE(E$6:E358))),"0000"))</f>
        <v/>
      </c>
    </row>
    <row r="359" spans="3:4">
      <c r="C359" s="1" t="str">
        <f t="shared" si="5"/>
        <v/>
      </c>
      <c r="D359" t="str">
        <f>IF(E359="","",TEXT(IF(COUNTIF(E$6:E359,E359)&gt;=1,MATCH(E359,$E$6:$E$1000,0),COUNTA(UNIQUE(E$6:E359))),"0000"))</f>
        <v/>
      </c>
    </row>
    <row r="360" spans="3:4">
      <c r="C360" s="1" t="str">
        <f t="shared" si="5"/>
        <v/>
      </c>
      <c r="D360" t="str">
        <f>IF(E360="","",TEXT(IF(COUNTIF(E$6:E360,E360)&gt;=1,MATCH(E360,$E$6:$E$1000,0),COUNTA(UNIQUE(E$6:E360))),"0000"))</f>
        <v/>
      </c>
    </row>
    <row r="361" spans="3:4">
      <c r="C361" s="1" t="str">
        <f t="shared" si="5"/>
        <v/>
      </c>
      <c r="D361" t="str">
        <f>IF(E361="","",TEXT(IF(COUNTIF(E$6:E361,E361)&gt;=1,MATCH(E361,$E$6:$E$1000,0),COUNTA(UNIQUE(E$6:E361))),"0000"))</f>
        <v/>
      </c>
    </row>
    <row r="362" spans="3:4">
      <c r="C362" s="1" t="str">
        <f t="shared" si="5"/>
        <v/>
      </c>
      <c r="D362" t="str">
        <f>IF(E362="","",TEXT(IF(COUNTIF(E$6:E362,E362)&gt;=1,MATCH(E362,$E$6:$E$1000,0),COUNTA(UNIQUE(E$6:E362))),"0000"))</f>
        <v/>
      </c>
    </row>
    <row r="363" spans="3:4">
      <c r="C363" s="1" t="str">
        <f t="shared" si="5"/>
        <v/>
      </c>
      <c r="D363" t="str">
        <f>IF(E363="","",TEXT(IF(COUNTIF(E$6:E363,E363)&gt;=1,MATCH(E363,$E$6:$E$1000,0),COUNTA(UNIQUE(E$6:E363))),"0000"))</f>
        <v/>
      </c>
    </row>
    <row r="364" spans="3:4">
      <c r="C364" s="1" t="str">
        <f t="shared" si="5"/>
        <v/>
      </c>
      <c r="D364" t="str">
        <f>IF(E364="","",TEXT(IF(COUNTIF(E$6:E364,E364)&gt;=1,MATCH(E364,$E$6:$E$1000,0),COUNTA(UNIQUE(E$6:E364))),"0000"))</f>
        <v/>
      </c>
    </row>
    <row r="365" spans="3:4">
      <c r="C365" s="1" t="str">
        <f t="shared" si="5"/>
        <v/>
      </c>
      <c r="D365" t="str">
        <f>IF(E365="","",TEXT(IF(COUNTIF(E$6:E365,E365)&gt;=1,MATCH(E365,$E$6:$E$1000,0),COUNTA(UNIQUE(E$6:E365))),"0000"))</f>
        <v/>
      </c>
    </row>
    <row r="366" spans="3:4">
      <c r="C366" s="1" t="str">
        <f t="shared" si="5"/>
        <v/>
      </c>
      <c r="D366" t="str">
        <f>IF(E366="","",TEXT(IF(COUNTIF(E$6:E366,E366)&gt;=1,MATCH(E366,$E$6:$E$1000,0),COUNTA(UNIQUE(E$6:E366))),"0000"))</f>
        <v/>
      </c>
    </row>
    <row r="367" spans="3:4">
      <c r="C367" s="1" t="str">
        <f t="shared" si="5"/>
        <v/>
      </c>
      <c r="D367" t="str">
        <f>IF(E367="","",TEXT(IF(COUNTIF(E$6:E367,E367)&gt;=1,MATCH(E367,$E$6:$E$1000,0),COUNTA(UNIQUE(E$6:E367))),"0000"))</f>
        <v/>
      </c>
    </row>
    <row r="368" spans="3:4">
      <c r="C368" s="1" t="str">
        <f t="shared" si="5"/>
        <v/>
      </c>
      <c r="D368" t="str">
        <f>IF(E368="","",TEXT(IF(COUNTIF(E$6:E368,E368)&gt;=1,MATCH(E368,$E$6:$E$1000,0),COUNTA(UNIQUE(E$6:E368))),"0000"))</f>
        <v/>
      </c>
    </row>
    <row r="369" spans="3:4">
      <c r="C369" s="1" t="str">
        <f t="shared" si="5"/>
        <v/>
      </c>
      <c r="D369" t="str">
        <f>IF(E369="","",TEXT(IF(COUNTIF(E$6:E369,E369)&gt;=1,MATCH(E369,$E$6:$E$1000,0),COUNTA(UNIQUE(E$6:E369))),"0000"))</f>
        <v/>
      </c>
    </row>
    <row r="370" spans="3:4">
      <c r="C370" s="1" t="str">
        <f t="shared" si="5"/>
        <v/>
      </c>
      <c r="D370" t="str">
        <f>IF(E370="","",TEXT(IF(COUNTIF(E$6:E370,E370)&gt;=1,MATCH(E370,$E$6:$E$1000,0),COUNTA(UNIQUE(E$6:E370))),"0000"))</f>
        <v/>
      </c>
    </row>
    <row r="371" spans="3:4">
      <c r="C371" s="1" t="str">
        <f t="shared" si="5"/>
        <v/>
      </c>
      <c r="D371" t="str">
        <f>IF(E371="","",TEXT(IF(COUNTIF(E$6:E371,E371)&gt;=1,MATCH(E371,$E$6:$E$1000,0),COUNTA(UNIQUE(E$6:E371))),"0000"))</f>
        <v/>
      </c>
    </row>
    <row r="372" spans="3:4">
      <c r="C372" s="1" t="str">
        <f t="shared" si="5"/>
        <v/>
      </c>
      <c r="D372" t="str">
        <f>IF(E372="","",TEXT(IF(COUNTIF(E$6:E372,E372)&gt;=1,MATCH(E372,$E$6:$E$1000,0),COUNTA(UNIQUE(E$6:E372))),"0000"))</f>
        <v/>
      </c>
    </row>
    <row r="373" spans="3:4">
      <c r="C373" s="1" t="str">
        <f t="shared" si="5"/>
        <v/>
      </c>
      <c r="D373" t="str">
        <f>IF(E373="","",TEXT(IF(COUNTIF(E$6:E373,E373)&gt;=1,MATCH(E373,$E$6:$E$1000,0),COUNTA(UNIQUE(E$6:E373))),"0000"))</f>
        <v/>
      </c>
    </row>
    <row r="374" spans="3:4">
      <c r="C374" s="1" t="str">
        <f t="shared" si="5"/>
        <v/>
      </c>
      <c r="D374" t="str">
        <f>IF(E374="","",TEXT(IF(COUNTIF(E$6:E374,E374)&gt;=1,MATCH(E374,$E$6:$E$1000,0),COUNTA(UNIQUE(E$6:E374))),"0000"))</f>
        <v/>
      </c>
    </row>
    <row r="375" spans="3:4">
      <c r="C375" s="1" t="str">
        <f t="shared" si="5"/>
        <v/>
      </c>
      <c r="D375" t="str">
        <f>IF(E375="","",TEXT(IF(COUNTIF(E$6:E375,E375)&gt;=1,MATCH(E375,$E$6:$E$1000,0),COUNTA(UNIQUE(E$6:E375))),"0000"))</f>
        <v/>
      </c>
    </row>
    <row r="376" spans="3:4">
      <c r="C376" s="1" t="str">
        <f t="shared" si="5"/>
        <v/>
      </c>
      <c r="D376" t="str">
        <f>IF(E376="","",TEXT(IF(COUNTIF(E$6:E376,E376)&gt;=1,MATCH(E376,$E$6:$E$1000,0),COUNTA(UNIQUE(E$6:E376))),"0000"))</f>
        <v/>
      </c>
    </row>
    <row r="377" spans="3:4">
      <c r="C377" s="1" t="str">
        <f t="shared" si="5"/>
        <v/>
      </c>
      <c r="D377" t="str">
        <f>IF(E377="","",TEXT(IF(COUNTIF(E$6:E377,E377)&gt;=1,MATCH(E377,$E$6:$E$1000,0),COUNTA(UNIQUE(E$6:E377))),"0000"))</f>
        <v/>
      </c>
    </row>
    <row r="378" spans="3:4">
      <c r="C378" s="1" t="str">
        <f t="shared" si="5"/>
        <v/>
      </c>
      <c r="D378" t="str">
        <f>IF(E378="","",TEXT(IF(COUNTIF(E$6:E378,E378)&gt;=1,MATCH(E378,$E$6:$E$1000,0),COUNTA(UNIQUE(E$6:E378))),"0000"))</f>
        <v/>
      </c>
    </row>
    <row r="379" spans="3:4">
      <c r="C379" s="1" t="str">
        <f t="shared" si="5"/>
        <v/>
      </c>
      <c r="D379" t="str">
        <f>IF(E379="","",TEXT(IF(COUNTIF(E$6:E379,E379)&gt;=1,MATCH(E379,$E$6:$E$1000,0),COUNTA(UNIQUE(E$6:E379))),"0000"))</f>
        <v/>
      </c>
    </row>
    <row r="380" spans="3:4">
      <c r="C380" s="1" t="str">
        <f t="shared" si="5"/>
        <v/>
      </c>
      <c r="D380" t="str">
        <f>IF(E380="","",TEXT(IF(COUNTIF(E$6:E380,E380)&gt;=1,MATCH(E380,$E$6:$E$1000,0),COUNTA(UNIQUE(E$6:E380))),"0000"))</f>
        <v/>
      </c>
    </row>
    <row r="381" spans="3:4">
      <c r="C381" s="1" t="str">
        <f t="shared" si="5"/>
        <v/>
      </c>
      <c r="D381" t="str">
        <f>IF(E381="","",TEXT(IF(COUNTIF(E$6:E381,E381)&gt;=1,MATCH(E381,$E$6:$E$1000,0),COUNTA(UNIQUE(E$6:E381))),"0000"))</f>
        <v/>
      </c>
    </row>
    <row r="382" spans="3:4">
      <c r="C382" s="1" t="str">
        <f t="shared" si="5"/>
        <v/>
      </c>
      <c r="D382" t="str">
        <f>IF(E382="","",TEXT(IF(COUNTIF(E$6:E382,E382)&gt;=1,MATCH(E382,$E$6:$E$1000,0),COUNTA(UNIQUE(E$6:E382))),"0000"))</f>
        <v/>
      </c>
    </row>
    <row r="383" spans="3:4">
      <c r="C383" s="1" t="str">
        <f t="shared" si="5"/>
        <v/>
      </c>
      <c r="D383" t="str">
        <f>IF(E383="","",TEXT(IF(COUNTIF(E$6:E383,E383)&gt;=1,MATCH(E383,$E$6:$E$1000,0),COUNTA(UNIQUE(E$6:E383))),"0000"))</f>
        <v/>
      </c>
    </row>
    <row r="384" spans="3:4">
      <c r="C384" s="1" t="str">
        <f t="shared" si="5"/>
        <v/>
      </c>
      <c r="D384" t="str">
        <f>IF(E384="","",TEXT(IF(COUNTIF(E$6:E384,E384)&gt;=1,MATCH(E384,$E$6:$E$1000,0),COUNTA(UNIQUE(E$6:E384))),"0000"))</f>
        <v/>
      </c>
    </row>
    <row r="385" spans="3:4">
      <c r="C385" s="1" t="str">
        <f t="shared" si="5"/>
        <v/>
      </c>
      <c r="D385" t="str">
        <f>IF(E385="","",TEXT(IF(COUNTIF(E$6:E385,E385)&gt;=1,MATCH(E385,$E$6:$E$1000,0),COUNTA(UNIQUE(E$6:E385))),"0000"))</f>
        <v/>
      </c>
    </row>
    <row r="386" spans="3:4">
      <c r="C386" s="1" t="str">
        <f t="shared" si="5"/>
        <v/>
      </c>
      <c r="D386" t="str">
        <f>IF(E386="","",TEXT(IF(COUNTIF(E$6:E386,E386)&gt;=1,MATCH(E386,$E$6:$E$1000,0),COUNTA(UNIQUE(E$6:E386))),"0000"))</f>
        <v/>
      </c>
    </row>
    <row r="387" spans="3:4">
      <c r="C387" s="1" t="str">
        <f t="shared" si="5"/>
        <v/>
      </c>
      <c r="D387" t="str">
        <f>IF(E387="","",TEXT(IF(COUNTIF(E$6:E387,E387)&gt;=1,MATCH(E387,$E$6:$E$1000,0),COUNTA(UNIQUE(E$6:E387))),"0000"))</f>
        <v/>
      </c>
    </row>
    <row r="388" spans="3:4">
      <c r="C388" s="1" t="str">
        <f t="shared" si="5"/>
        <v/>
      </c>
      <c r="D388" t="str">
        <f>IF(E388="","",TEXT(IF(COUNTIF(E$6:E388,E388)&gt;=1,MATCH(E388,$E$6:$E$1000,0),COUNTA(UNIQUE(E$6:E388))),"0000"))</f>
        <v/>
      </c>
    </row>
    <row r="389" spans="3:4">
      <c r="C389" s="1" t="str">
        <f t="shared" si="5"/>
        <v/>
      </c>
      <c r="D389" t="str">
        <f>IF(E389="","",TEXT(IF(COUNTIF(E$6:E389,E389)&gt;=1,MATCH(E389,$E$6:$E$1000,0),COUNTA(UNIQUE(E$6:E389))),"0000"))</f>
        <v/>
      </c>
    </row>
    <row r="390" spans="3:4">
      <c r="C390" s="1" t="str">
        <f t="shared" si="5"/>
        <v/>
      </c>
      <c r="D390" t="str">
        <f>IF(E390="","",TEXT(IF(COUNTIF(E$6:E390,E390)&gt;=1,MATCH(E390,$E$6:$E$1000,0),COUNTA(UNIQUE(E$6:E390))),"0000"))</f>
        <v/>
      </c>
    </row>
    <row r="391" spans="3:4">
      <c r="C391" s="1" t="str">
        <f t="shared" ref="C391:C454" si="6">IF(AND(D391="",E391=""),"",ROW(C386))</f>
        <v/>
      </c>
      <c r="D391" t="str">
        <f>IF(E391="","",TEXT(IF(COUNTIF(E$6:E391,E391)&gt;=1,MATCH(E391,$E$6:$E$1000,0),COUNTA(UNIQUE(E$6:E391))),"0000"))</f>
        <v/>
      </c>
    </row>
    <row r="392" spans="3:4">
      <c r="C392" s="1" t="str">
        <f t="shared" si="6"/>
        <v/>
      </c>
      <c r="D392" t="str">
        <f>IF(E392="","",TEXT(IF(COUNTIF(E$6:E392,E392)&gt;=1,MATCH(E392,$E$6:$E$1000,0),COUNTA(UNIQUE(E$6:E392))),"0000"))</f>
        <v/>
      </c>
    </row>
    <row r="393" spans="3:4">
      <c r="C393" s="1" t="str">
        <f t="shared" si="6"/>
        <v/>
      </c>
      <c r="D393" t="str">
        <f>IF(E393="","",TEXT(IF(COUNTIF(E$6:E393,E393)&gt;=1,MATCH(E393,$E$6:$E$1000,0),COUNTA(UNIQUE(E$6:E393))),"0000"))</f>
        <v/>
      </c>
    </row>
    <row r="394" spans="3:4">
      <c r="C394" s="1" t="str">
        <f t="shared" si="6"/>
        <v/>
      </c>
      <c r="D394" t="str">
        <f>IF(E394="","",TEXT(IF(COUNTIF(E$6:E394,E394)&gt;=1,MATCH(E394,$E$6:$E$1000,0),COUNTA(UNIQUE(E$6:E394))),"0000"))</f>
        <v/>
      </c>
    </row>
    <row r="395" spans="3:4">
      <c r="C395" s="1" t="str">
        <f t="shared" si="6"/>
        <v/>
      </c>
      <c r="D395" t="str">
        <f>IF(E395="","",TEXT(IF(COUNTIF(E$6:E395,E395)&gt;=1,MATCH(E395,$E$6:$E$1000,0),COUNTA(UNIQUE(E$6:E395))),"0000"))</f>
        <v/>
      </c>
    </row>
    <row r="396" spans="3:4">
      <c r="C396" s="1" t="str">
        <f t="shared" si="6"/>
        <v/>
      </c>
      <c r="D396" t="str">
        <f>IF(E396="","",TEXT(IF(COUNTIF(E$6:E396,E396)&gt;=1,MATCH(E396,$E$6:$E$1000,0),COUNTA(UNIQUE(E$6:E396))),"0000"))</f>
        <v/>
      </c>
    </row>
    <row r="397" spans="3:4">
      <c r="C397" s="1" t="str">
        <f t="shared" si="6"/>
        <v/>
      </c>
      <c r="D397" t="str">
        <f>IF(E397="","",TEXT(IF(COUNTIF(E$6:E397,E397)&gt;=1,MATCH(E397,$E$6:$E$1000,0),COUNTA(UNIQUE(E$6:E397))),"0000"))</f>
        <v/>
      </c>
    </row>
    <row r="398" spans="3:4">
      <c r="C398" s="1" t="str">
        <f t="shared" si="6"/>
        <v/>
      </c>
      <c r="D398" t="str">
        <f>IF(E398="","",TEXT(IF(COUNTIF(E$6:E398,E398)&gt;=1,MATCH(E398,$E$6:$E$1000,0),COUNTA(UNIQUE(E$6:E398))),"0000"))</f>
        <v/>
      </c>
    </row>
    <row r="399" spans="3:4">
      <c r="C399" s="1" t="str">
        <f t="shared" si="6"/>
        <v/>
      </c>
      <c r="D399" t="str">
        <f>IF(E399="","",TEXT(IF(COUNTIF(E$6:E399,E399)&gt;=1,MATCH(E399,$E$6:$E$1000,0),COUNTA(UNIQUE(E$6:E399))),"0000"))</f>
        <v/>
      </c>
    </row>
    <row r="400" spans="3:4">
      <c r="C400" s="1" t="str">
        <f t="shared" si="6"/>
        <v/>
      </c>
      <c r="D400" t="str">
        <f>IF(E400="","",TEXT(IF(COUNTIF(E$6:E400,E400)&gt;=1,MATCH(E400,$E$6:$E$1000,0),COUNTA(UNIQUE(E$6:E400))),"0000"))</f>
        <v/>
      </c>
    </row>
    <row r="401" spans="3:4">
      <c r="C401" s="1" t="str">
        <f t="shared" si="6"/>
        <v/>
      </c>
      <c r="D401" t="str">
        <f>IF(E401="","",TEXT(IF(COUNTIF(E$6:E401,E401)&gt;=1,MATCH(E401,$E$6:$E$1000,0),COUNTA(UNIQUE(E$6:E401))),"0000"))</f>
        <v/>
      </c>
    </row>
    <row r="402" spans="3:4">
      <c r="C402" s="1" t="str">
        <f t="shared" si="6"/>
        <v/>
      </c>
      <c r="D402" t="str">
        <f>IF(E402="","",TEXT(IF(COUNTIF(E$6:E402,E402)&gt;=1,MATCH(E402,$E$6:$E$1000,0),COUNTA(UNIQUE(E$6:E402))),"0000"))</f>
        <v/>
      </c>
    </row>
    <row r="403" spans="3:4">
      <c r="C403" s="1" t="str">
        <f t="shared" si="6"/>
        <v/>
      </c>
      <c r="D403" t="str">
        <f>IF(E403="","",TEXT(IF(COUNTIF(E$6:E403,E403)&gt;=1,MATCH(E403,$E$6:$E$1000,0),COUNTA(UNIQUE(E$6:E403))),"0000"))</f>
        <v/>
      </c>
    </row>
    <row r="404" spans="3:4">
      <c r="C404" s="1" t="str">
        <f t="shared" si="6"/>
        <v/>
      </c>
      <c r="D404" t="str">
        <f>IF(E404="","",TEXT(IF(COUNTIF(E$6:E404,E404)&gt;=1,MATCH(E404,$E$6:$E$1000,0),COUNTA(UNIQUE(E$6:E404))),"0000"))</f>
        <v/>
      </c>
    </row>
    <row r="405" spans="3:4">
      <c r="C405" s="1" t="str">
        <f t="shared" si="6"/>
        <v/>
      </c>
      <c r="D405" t="str">
        <f>IF(E405="","",TEXT(IF(COUNTIF(E$6:E405,E405)&gt;=1,MATCH(E405,$E$6:$E$1000,0),COUNTA(UNIQUE(E$6:E405))),"0000"))</f>
        <v/>
      </c>
    </row>
    <row r="406" spans="3:4">
      <c r="C406" s="1" t="str">
        <f t="shared" si="6"/>
        <v/>
      </c>
      <c r="D406" t="str">
        <f>IF(E406="","",TEXT(IF(COUNTIF(E$6:E406,E406)&gt;=1,MATCH(E406,$E$6:$E$1000,0),COUNTA(UNIQUE(E$6:E406))),"0000"))</f>
        <v/>
      </c>
    </row>
    <row r="407" spans="3:4">
      <c r="C407" s="1" t="str">
        <f t="shared" si="6"/>
        <v/>
      </c>
      <c r="D407" t="str">
        <f>IF(E407="","",TEXT(IF(COUNTIF(E$6:E407,E407)&gt;=1,MATCH(E407,$E$6:$E$1000,0),COUNTA(UNIQUE(E$6:E407))),"0000"))</f>
        <v/>
      </c>
    </row>
    <row r="408" spans="3:4">
      <c r="C408" s="1" t="str">
        <f t="shared" si="6"/>
        <v/>
      </c>
      <c r="D408" t="str">
        <f>IF(E408="","",TEXT(IF(COUNTIF(E$6:E408,E408)&gt;=1,MATCH(E408,$E$6:$E$1000,0),COUNTA(UNIQUE(E$6:E408))),"0000"))</f>
        <v/>
      </c>
    </row>
    <row r="409" spans="3:4">
      <c r="C409" s="1" t="str">
        <f t="shared" si="6"/>
        <v/>
      </c>
      <c r="D409" t="str">
        <f>IF(E409="","",TEXT(IF(COUNTIF(E$6:E409,E409)&gt;=1,MATCH(E409,$E$6:$E$1000,0),COUNTA(UNIQUE(E$6:E409))),"0000"))</f>
        <v/>
      </c>
    </row>
    <row r="410" spans="3:4">
      <c r="C410" s="1" t="str">
        <f t="shared" si="6"/>
        <v/>
      </c>
      <c r="D410" t="str">
        <f>IF(E410="","",TEXT(IF(COUNTIF(E$6:E410,E410)&gt;=1,MATCH(E410,$E$6:$E$1000,0),COUNTA(UNIQUE(E$6:E410))),"0000"))</f>
        <v/>
      </c>
    </row>
    <row r="411" spans="3:4">
      <c r="C411" s="1" t="str">
        <f t="shared" si="6"/>
        <v/>
      </c>
      <c r="D411" t="str">
        <f>IF(E411="","",TEXT(IF(COUNTIF(E$6:E411,E411)&gt;=1,MATCH(E411,$E$6:$E$1000,0),COUNTA(UNIQUE(E$6:E411))),"0000"))</f>
        <v/>
      </c>
    </row>
    <row r="412" spans="3:4">
      <c r="C412" s="1" t="str">
        <f t="shared" si="6"/>
        <v/>
      </c>
      <c r="D412" t="str">
        <f>IF(E412="","",TEXT(IF(COUNTIF(E$6:E412,E412)&gt;=1,MATCH(E412,$E$6:$E$1000,0),COUNTA(UNIQUE(E$6:E412))),"0000"))</f>
        <v/>
      </c>
    </row>
    <row r="413" spans="3:4">
      <c r="C413" s="1" t="str">
        <f t="shared" si="6"/>
        <v/>
      </c>
      <c r="D413" t="str">
        <f>IF(E413="","",TEXT(IF(COUNTIF(E$6:E413,E413)&gt;=1,MATCH(E413,$E$6:$E$1000,0),COUNTA(UNIQUE(E$6:E413))),"0000"))</f>
        <v/>
      </c>
    </row>
    <row r="414" spans="3:4">
      <c r="C414" s="1" t="str">
        <f t="shared" si="6"/>
        <v/>
      </c>
      <c r="D414" t="str">
        <f>IF(E414="","",TEXT(IF(COUNTIF(E$6:E414,E414)&gt;=1,MATCH(E414,$E$6:$E$1000,0),COUNTA(UNIQUE(E$6:E414))),"0000"))</f>
        <v/>
      </c>
    </row>
    <row r="415" spans="3:4">
      <c r="C415" s="1" t="str">
        <f t="shared" si="6"/>
        <v/>
      </c>
      <c r="D415" t="str">
        <f>IF(E415="","",TEXT(IF(COUNTIF(E$6:E415,E415)&gt;=1,MATCH(E415,$E$6:$E$1000,0),COUNTA(UNIQUE(E$6:E415))),"0000"))</f>
        <v/>
      </c>
    </row>
    <row r="416" spans="3:4">
      <c r="C416" s="1" t="str">
        <f t="shared" si="6"/>
        <v/>
      </c>
      <c r="D416" t="str">
        <f>IF(E416="","",TEXT(IF(COUNTIF(E$6:E416,E416)&gt;=1,MATCH(E416,$E$6:$E$1000,0),COUNTA(UNIQUE(E$6:E416))),"0000"))</f>
        <v/>
      </c>
    </row>
    <row r="417" spans="3:4">
      <c r="C417" s="1" t="str">
        <f t="shared" si="6"/>
        <v/>
      </c>
      <c r="D417" t="str">
        <f>IF(E417="","",TEXT(IF(COUNTIF(E$6:E417,E417)&gt;=1,MATCH(E417,$E$6:$E$1000,0),COUNTA(UNIQUE(E$6:E417))),"0000"))</f>
        <v/>
      </c>
    </row>
    <row r="418" spans="3:4">
      <c r="C418" s="1" t="str">
        <f t="shared" si="6"/>
        <v/>
      </c>
      <c r="D418" t="str">
        <f>IF(E418="","",TEXT(IF(COUNTIF(E$6:E418,E418)&gt;=1,MATCH(E418,$E$6:$E$1000,0),COUNTA(UNIQUE(E$6:E418))),"0000"))</f>
        <v/>
      </c>
    </row>
    <row r="419" spans="3:4">
      <c r="C419" s="1" t="str">
        <f t="shared" si="6"/>
        <v/>
      </c>
      <c r="D419" t="str">
        <f>IF(E419="","",TEXT(IF(COUNTIF(E$6:E419,E419)&gt;=1,MATCH(E419,$E$6:$E$1000,0),COUNTA(UNIQUE(E$6:E419))),"0000"))</f>
        <v/>
      </c>
    </row>
    <row r="420" spans="3:4">
      <c r="C420" s="1" t="str">
        <f t="shared" si="6"/>
        <v/>
      </c>
      <c r="D420" t="str">
        <f>IF(E420="","",TEXT(IF(COUNTIF(E$6:E420,E420)&gt;=1,MATCH(E420,$E$6:$E$1000,0),COUNTA(UNIQUE(E$6:E420))),"0000"))</f>
        <v/>
      </c>
    </row>
    <row r="421" spans="3:4">
      <c r="C421" s="1" t="str">
        <f t="shared" si="6"/>
        <v/>
      </c>
      <c r="D421" t="str">
        <f>IF(E421="","",TEXT(IF(COUNTIF(E$6:E421,E421)&gt;=1,MATCH(E421,$E$6:$E$1000,0),COUNTA(UNIQUE(E$6:E421))),"0000"))</f>
        <v/>
      </c>
    </row>
    <row r="422" spans="3:4">
      <c r="C422" s="1" t="str">
        <f t="shared" si="6"/>
        <v/>
      </c>
      <c r="D422" t="str">
        <f>IF(E422="","",TEXT(IF(COUNTIF(E$6:E422,E422)&gt;=1,MATCH(E422,$E$6:$E$1000,0),COUNTA(UNIQUE(E$6:E422))),"0000"))</f>
        <v/>
      </c>
    </row>
    <row r="423" spans="3:4">
      <c r="C423" s="1" t="str">
        <f t="shared" si="6"/>
        <v/>
      </c>
      <c r="D423" t="str">
        <f>IF(E423="","",TEXT(IF(COUNTIF(E$6:E423,E423)&gt;=1,MATCH(E423,$E$6:$E$1000,0),COUNTA(UNIQUE(E$6:E423))),"0000"))</f>
        <v/>
      </c>
    </row>
    <row r="424" spans="3:4">
      <c r="C424" s="1" t="str">
        <f t="shared" si="6"/>
        <v/>
      </c>
      <c r="D424" t="str">
        <f>IF(E424="","",TEXT(IF(COUNTIF(E$6:E424,E424)&gt;=1,MATCH(E424,$E$6:$E$1000,0),COUNTA(UNIQUE(E$6:E424))),"0000"))</f>
        <v/>
      </c>
    </row>
    <row r="425" spans="3:4">
      <c r="C425" s="1" t="str">
        <f t="shared" si="6"/>
        <v/>
      </c>
      <c r="D425" t="str">
        <f>IF(E425="","",TEXT(IF(COUNTIF(E$6:E425,E425)&gt;=1,MATCH(E425,$E$6:$E$1000,0),COUNTA(UNIQUE(E$6:E425))),"0000"))</f>
        <v/>
      </c>
    </row>
    <row r="426" spans="3:4">
      <c r="C426" s="1" t="str">
        <f t="shared" si="6"/>
        <v/>
      </c>
      <c r="D426" t="str">
        <f>IF(E426="","",TEXT(IF(COUNTIF(E$6:E426,E426)&gt;=1,MATCH(E426,$E$6:$E$1000,0),COUNTA(UNIQUE(E$6:E426))),"0000"))</f>
        <v/>
      </c>
    </row>
    <row r="427" spans="3:4">
      <c r="C427" s="1" t="str">
        <f t="shared" si="6"/>
        <v/>
      </c>
      <c r="D427" t="str">
        <f>IF(E427="","",TEXT(IF(COUNTIF(E$6:E427,E427)&gt;=1,MATCH(E427,$E$6:$E$1000,0),COUNTA(UNIQUE(E$6:E427))),"0000"))</f>
        <v/>
      </c>
    </row>
    <row r="428" spans="3:4">
      <c r="C428" s="1" t="str">
        <f t="shared" si="6"/>
        <v/>
      </c>
      <c r="D428" t="str">
        <f>IF(E428="","",TEXT(IF(COUNTIF(E$6:E428,E428)&gt;=1,MATCH(E428,$E$6:$E$1000,0),COUNTA(UNIQUE(E$6:E428))),"0000"))</f>
        <v/>
      </c>
    </row>
    <row r="429" spans="3:4">
      <c r="C429" s="1" t="str">
        <f t="shared" si="6"/>
        <v/>
      </c>
      <c r="D429" t="str">
        <f>IF(E429="","",TEXT(IF(COUNTIF(E$6:E429,E429)&gt;=1,MATCH(E429,$E$6:$E$1000,0),COUNTA(UNIQUE(E$6:E429))),"0000"))</f>
        <v/>
      </c>
    </row>
    <row r="430" spans="3:4">
      <c r="C430" s="1" t="str">
        <f t="shared" si="6"/>
        <v/>
      </c>
      <c r="D430" t="str">
        <f>IF(E430="","",TEXT(IF(COUNTIF(E$6:E430,E430)&gt;=1,MATCH(E430,$E$6:$E$1000,0),COUNTA(UNIQUE(E$6:E430))),"0000"))</f>
        <v/>
      </c>
    </row>
    <row r="431" spans="3:4">
      <c r="C431" s="1" t="str">
        <f t="shared" si="6"/>
        <v/>
      </c>
      <c r="D431" t="str">
        <f>IF(E431="","",TEXT(IF(COUNTIF(E$6:E431,E431)&gt;=1,MATCH(E431,$E$6:$E$1000,0),COUNTA(UNIQUE(E$6:E431))),"0000"))</f>
        <v/>
      </c>
    </row>
    <row r="432" spans="3:4">
      <c r="C432" s="1" t="str">
        <f t="shared" si="6"/>
        <v/>
      </c>
      <c r="D432" t="str">
        <f>IF(E432="","",TEXT(IF(COUNTIF(E$6:E432,E432)&gt;=1,MATCH(E432,$E$6:$E$1000,0),COUNTA(UNIQUE(E$6:E432))),"0000"))</f>
        <v/>
      </c>
    </row>
    <row r="433" spans="3:4">
      <c r="C433" s="1" t="str">
        <f t="shared" si="6"/>
        <v/>
      </c>
      <c r="D433" t="str">
        <f>IF(E433="","",TEXT(IF(COUNTIF(E$6:E433,E433)&gt;=1,MATCH(E433,$E$6:$E$1000,0),COUNTA(UNIQUE(E$6:E433))),"0000"))</f>
        <v/>
      </c>
    </row>
    <row r="434" spans="3:4">
      <c r="C434" s="1" t="str">
        <f t="shared" si="6"/>
        <v/>
      </c>
      <c r="D434" t="str">
        <f>IF(E434="","",TEXT(IF(COUNTIF(E$6:E434,E434)&gt;=1,MATCH(E434,$E$6:$E$1000,0),COUNTA(UNIQUE(E$6:E434))),"0000"))</f>
        <v/>
      </c>
    </row>
    <row r="435" spans="3:4">
      <c r="C435" s="1" t="str">
        <f t="shared" si="6"/>
        <v/>
      </c>
      <c r="D435" t="str">
        <f>IF(E435="","",TEXT(IF(COUNTIF(E$6:E435,E435)&gt;=1,MATCH(E435,$E$6:$E$1000,0),COUNTA(UNIQUE(E$6:E435))),"0000"))</f>
        <v/>
      </c>
    </row>
    <row r="436" spans="3:4">
      <c r="C436" s="1" t="str">
        <f t="shared" si="6"/>
        <v/>
      </c>
      <c r="D436" t="str">
        <f>IF(E436="","",TEXT(IF(COUNTIF(E$6:E436,E436)&gt;=1,MATCH(E436,$E$6:$E$1000,0),COUNTA(UNIQUE(E$6:E436))),"0000"))</f>
        <v/>
      </c>
    </row>
    <row r="437" spans="3:4">
      <c r="C437" s="1" t="str">
        <f t="shared" si="6"/>
        <v/>
      </c>
      <c r="D437" t="str">
        <f>IF(E437="","",TEXT(IF(COUNTIF(E$6:E437,E437)&gt;=1,MATCH(E437,$E$6:$E$1000,0),COUNTA(UNIQUE(E$6:E437))),"0000"))</f>
        <v/>
      </c>
    </row>
    <row r="438" spans="3:4">
      <c r="C438" s="1" t="str">
        <f t="shared" si="6"/>
        <v/>
      </c>
      <c r="D438" t="str">
        <f>IF(E438="","",TEXT(IF(COUNTIF(E$6:E438,E438)&gt;=1,MATCH(E438,$E$6:$E$1000,0),COUNTA(UNIQUE(E$6:E438))),"0000"))</f>
        <v/>
      </c>
    </row>
    <row r="439" spans="3:4">
      <c r="C439" s="1" t="str">
        <f t="shared" si="6"/>
        <v/>
      </c>
      <c r="D439" t="str">
        <f>IF(E439="","",TEXT(IF(COUNTIF(E$6:E439,E439)&gt;=1,MATCH(E439,$E$6:$E$1000,0),COUNTA(UNIQUE(E$6:E439))),"0000"))</f>
        <v/>
      </c>
    </row>
    <row r="440" spans="3:4">
      <c r="C440" s="1" t="str">
        <f t="shared" si="6"/>
        <v/>
      </c>
      <c r="D440" t="str">
        <f>IF(E440="","",TEXT(IF(COUNTIF(E$6:E440,E440)&gt;=1,MATCH(E440,$E$6:$E$1000,0),COUNTA(UNIQUE(E$6:E440))),"0000"))</f>
        <v/>
      </c>
    </row>
    <row r="441" spans="3:4">
      <c r="C441" s="1" t="str">
        <f t="shared" si="6"/>
        <v/>
      </c>
      <c r="D441" t="str">
        <f>IF(E441="","",TEXT(IF(COUNTIF(E$6:E441,E441)&gt;=1,MATCH(E441,$E$6:$E$1000,0),COUNTA(UNIQUE(E$6:E441))),"0000"))</f>
        <v/>
      </c>
    </row>
    <row r="442" spans="3:4">
      <c r="C442" s="1" t="str">
        <f t="shared" si="6"/>
        <v/>
      </c>
      <c r="D442" t="str">
        <f>IF(E442="","",TEXT(IF(COUNTIF(E$6:E442,E442)&gt;=1,MATCH(E442,$E$6:$E$1000,0),COUNTA(UNIQUE(E$6:E442))),"0000"))</f>
        <v/>
      </c>
    </row>
    <row r="443" spans="3:4">
      <c r="C443" s="1" t="str">
        <f t="shared" si="6"/>
        <v/>
      </c>
      <c r="D443" t="str">
        <f>IF(E443="","",TEXT(IF(COUNTIF(E$6:E443,E443)&gt;=1,MATCH(E443,$E$6:$E$1000,0),COUNTA(UNIQUE(E$6:E443))),"0000"))</f>
        <v/>
      </c>
    </row>
    <row r="444" spans="3:4">
      <c r="C444" s="1" t="str">
        <f t="shared" si="6"/>
        <v/>
      </c>
      <c r="D444" t="str">
        <f>IF(E444="","",TEXT(IF(COUNTIF(E$6:E444,E444)&gt;=1,MATCH(E444,$E$6:$E$1000,0),COUNTA(UNIQUE(E$6:E444))),"0000"))</f>
        <v/>
      </c>
    </row>
    <row r="445" spans="3:4">
      <c r="C445" s="1" t="str">
        <f t="shared" si="6"/>
        <v/>
      </c>
      <c r="D445" t="str">
        <f>IF(E445="","",TEXT(IF(COUNTIF(E$6:E445,E445)&gt;=1,MATCH(E445,$E$6:$E$1000,0),COUNTA(UNIQUE(E$6:E445))),"0000"))</f>
        <v/>
      </c>
    </row>
    <row r="446" spans="3:4">
      <c r="C446" s="1" t="str">
        <f t="shared" si="6"/>
        <v/>
      </c>
      <c r="D446" t="str">
        <f>IF(E446="","",TEXT(IF(COUNTIF(E$6:E446,E446)&gt;=1,MATCH(E446,$E$6:$E$1000,0),COUNTA(UNIQUE(E$6:E446))),"0000"))</f>
        <v/>
      </c>
    </row>
    <row r="447" spans="3:4">
      <c r="C447" s="1" t="str">
        <f t="shared" si="6"/>
        <v/>
      </c>
      <c r="D447" t="str">
        <f>IF(E447="","",TEXT(IF(COUNTIF(E$6:E447,E447)&gt;=1,MATCH(E447,$E$6:$E$1000,0),COUNTA(UNIQUE(E$6:E447))),"0000"))</f>
        <v/>
      </c>
    </row>
    <row r="448" spans="3:4">
      <c r="C448" s="1" t="str">
        <f t="shared" si="6"/>
        <v/>
      </c>
      <c r="D448" t="str">
        <f>IF(E448="","",TEXT(IF(COUNTIF(E$6:E448,E448)&gt;=1,MATCH(E448,$E$6:$E$1000,0),COUNTA(UNIQUE(E$6:E448))),"0000"))</f>
        <v/>
      </c>
    </row>
    <row r="449" spans="3:4">
      <c r="C449" s="1" t="str">
        <f t="shared" si="6"/>
        <v/>
      </c>
      <c r="D449" t="str">
        <f>IF(E449="","",TEXT(IF(COUNTIF(E$6:E449,E449)&gt;=1,MATCH(E449,$E$6:$E$1000,0),COUNTA(UNIQUE(E$6:E449))),"0000"))</f>
        <v/>
      </c>
    </row>
    <row r="450" spans="3:4">
      <c r="C450" s="1" t="str">
        <f t="shared" si="6"/>
        <v/>
      </c>
      <c r="D450" t="str">
        <f>IF(E450="","",TEXT(IF(COUNTIF(E$6:E450,E450)&gt;=1,MATCH(E450,$E$6:$E$1000,0),COUNTA(UNIQUE(E$6:E450))),"0000"))</f>
        <v/>
      </c>
    </row>
    <row r="451" spans="3:4">
      <c r="C451" s="1" t="str">
        <f t="shared" si="6"/>
        <v/>
      </c>
      <c r="D451" t="str">
        <f>IF(E451="","",TEXT(IF(COUNTIF(E$6:E451,E451)&gt;=1,MATCH(E451,$E$6:$E$1000,0),COUNTA(UNIQUE(E$6:E451))),"0000"))</f>
        <v/>
      </c>
    </row>
    <row r="452" spans="3:4">
      <c r="C452" s="1" t="str">
        <f t="shared" si="6"/>
        <v/>
      </c>
      <c r="D452" t="str">
        <f>IF(E452="","",TEXT(IF(COUNTIF(E$6:E452,E452)&gt;=1,MATCH(E452,$E$6:$E$1000,0),COUNTA(UNIQUE(E$6:E452))),"0000"))</f>
        <v/>
      </c>
    </row>
    <row r="453" spans="3:4">
      <c r="C453" s="1" t="str">
        <f t="shared" si="6"/>
        <v/>
      </c>
      <c r="D453" t="str">
        <f>IF(E453="","",TEXT(IF(COUNTIF(E$6:E453,E453)&gt;=1,MATCH(E453,$E$6:$E$1000,0),COUNTA(UNIQUE(E$6:E453))),"0000"))</f>
        <v/>
      </c>
    </row>
    <row r="454" spans="3:4">
      <c r="C454" s="1" t="str">
        <f t="shared" si="6"/>
        <v/>
      </c>
      <c r="D454" t="str">
        <f>IF(E454="","",TEXT(IF(COUNTIF(E$6:E454,E454)&gt;=1,MATCH(E454,$E$6:$E$1000,0),COUNTA(UNIQUE(E$6:E454))),"0000"))</f>
        <v/>
      </c>
    </row>
    <row r="455" spans="3:4">
      <c r="C455" s="1" t="str">
        <f t="shared" ref="C455:C518" si="7">IF(AND(D455="",E455=""),"",ROW(C450))</f>
        <v/>
      </c>
      <c r="D455" t="str">
        <f>IF(E455="","",TEXT(IF(COUNTIF(E$6:E455,E455)&gt;=1,MATCH(E455,$E$6:$E$1000,0),COUNTA(UNIQUE(E$6:E455))),"0000"))</f>
        <v/>
      </c>
    </row>
    <row r="456" spans="3:4">
      <c r="C456" s="1" t="str">
        <f t="shared" si="7"/>
        <v/>
      </c>
      <c r="D456" t="str">
        <f>IF(E456="","",TEXT(IF(COUNTIF(E$6:E456,E456)&gt;=1,MATCH(E456,$E$6:$E$1000,0),COUNTA(UNIQUE(E$6:E456))),"0000"))</f>
        <v/>
      </c>
    </row>
    <row r="457" spans="3:4">
      <c r="C457" s="1" t="str">
        <f t="shared" si="7"/>
        <v/>
      </c>
      <c r="D457" t="str">
        <f>IF(E457="","",TEXT(IF(COUNTIF(E$6:E457,E457)&gt;=1,MATCH(E457,$E$6:$E$1000,0),COUNTA(UNIQUE(E$6:E457))),"0000"))</f>
        <v/>
      </c>
    </row>
    <row r="458" spans="3:4">
      <c r="C458" s="1" t="str">
        <f t="shared" si="7"/>
        <v/>
      </c>
      <c r="D458" t="str">
        <f>IF(E458="","",TEXT(IF(COUNTIF(E$6:E458,E458)&gt;=1,MATCH(E458,$E$6:$E$1000,0),COUNTA(UNIQUE(E$6:E458))),"0000"))</f>
        <v/>
      </c>
    </row>
    <row r="459" spans="3:4">
      <c r="C459" s="1" t="str">
        <f t="shared" si="7"/>
        <v/>
      </c>
      <c r="D459" t="str">
        <f>IF(E459="","",TEXT(IF(COUNTIF(E$6:E459,E459)&gt;=1,MATCH(E459,$E$6:$E$1000,0),COUNTA(UNIQUE(E$6:E459))),"0000"))</f>
        <v/>
      </c>
    </row>
    <row r="460" spans="3:4">
      <c r="C460" s="1" t="str">
        <f t="shared" si="7"/>
        <v/>
      </c>
      <c r="D460" t="str">
        <f>IF(E460="","",TEXT(IF(COUNTIF(E$6:E460,E460)&gt;=1,MATCH(E460,$E$6:$E$1000,0),COUNTA(UNIQUE(E$6:E460))),"0000"))</f>
        <v/>
      </c>
    </row>
    <row r="461" spans="3:4">
      <c r="C461" s="1" t="str">
        <f t="shared" si="7"/>
        <v/>
      </c>
      <c r="D461" t="str">
        <f>IF(E461="","",TEXT(IF(COUNTIF(E$6:E461,E461)&gt;=1,MATCH(E461,$E$6:$E$1000,0),COUNTA(UNIQUE(E$6:E461))),"0000"))</f>
        <v/>
      </c>
    </row>
    <row r="462" spans="3:4">
      <c r="C462" s="1" t="str">
        <f t="shared" si="7"/>
        <v/>
      </c>
      <c r="D462" t="str">
        <f>IF(E462="","",TEXT(IF(COUNTIF(E$6:E462,E462)&gt;=1,MATCH(E462,$E$6:$E$1000,0),COUNTA(UNIQUE(E$6:E462))),"0000"))</f>
        <v/>
      </c>
    </row>
    <row r="463" spans="3:4">
      <c r="C463" s="1" t="str">
        <f t="shared" si="7"/>
        <v/>
      </c>
      <c r="D463" t="str">
        <f>IF(E463="","",TEXT(IF(COUNTIF(E$6:E463,E463)&gt;=1,MATCH(E463,$E$6:$E$1000,0),COUNTA(UNIQUE(E$6:E463))),"0000"))</f>
        <v/>
      </c>
    </row>
    <row r="464" spans="3:4">
      <c r="C464" s="1" t="str">
        <f t="shared" si="7"/>
        <v/>
      </c>
      <c r="D464" t="str">
        <f>IF(E464="","",TEXT(IF(COUNTIF(E$6:E464,E464)&gt;=1,MATCH(E464,$E$6:$E$1000,0),COUNTA(UNIQUE(E$6:E464))),"0000"))</f>
        <v/>
      </c>
    </row>
    <row r="465" spans="3:4">
      <c r="C465" s="1" t="str">
        <f t="shared" si="7"/>
        <v/>
      </c>
      <c r="D465" t="str">
        <f>IF(E465="","",TEXT(IF(COUNTIF(E$6:E465,E465)&gt;=1,MATCH(E465,$E$6:$E$1000,0),COUNTA(UNIQUE(E$6:E465))),"0000"))</f>
        <v/>
      </c>
    </row>
    <row r="466" spans="3:4">
      <c r="C466" s="1" t="str">
        <f t="shared" si="7"/>
        <v/>
      </c>
      <c r="D466" t="str">
        <f>IF(E466="","",TEXT(IF(COUNTIF(E$6:E466,E466)&gt;=1,MATCH(E466,$E$6:$E$1000,0),COUNTA(UNIQUE(E$6:E466))),"0000"))</f>
        <v/>
      </c>
    </row>
    <row r="467" spans="3:4">
      <c r="C467" s="1" t="str">
        <f t="shared" si="7"/>
        <v/>
      </c>
      <c r="D467" t="str">
        <f>IF(E467="","",TEXT(IF(COUNTIF(E$6:E467,E467)&gt;=1,MATCH(E467,$E$6:$E$1000,0),COUNTA(UNIQUE(E$6:E467))),"0000"))</f>
        <v/>
      </c>
    </row>
    <row r="468" spans="3:4">
      <c r="C468" s="1" t="str">
        <f t="shared" si="7"/>
        <v/>
      </c>
      <c r="D468" t="str">
        <f>IF(E468="","",TEXT(IF(COUNTIF(E$6:E468,E468)&gt;=1,MATCH(E468,$E$6:$E$1000,0),COUNTA(UNIQUE(E$6:E468))),"0000"))</f>
        <v/>
      </c>
    </row>
    <row r="469" spans="3:4">
      <c r="C469" s="1" t="str">
        <f t="shared" si="7"/>
        <v/>
      </c>
      <c r="D469" t="str">
        <f>IF(E469="","",TEXT(IF(COUNTIF(E$6:E469,E469)&gt;=1,MATCH(E469,$E$6:$E$1000,0),COUNTA(UNIQUE(E$6:E469))),"0000"))</f>
        <v/>
      </c>
    </row>
    <row r="470" spans="3:4">
      <c r="C470" s="1" t="str">
        <f t="shared" si="7"/>
        <v/>
      </c>
      <c r="D470" t="str">
        <f>IF(E470="","",TEXT(IF(COUNTIF(E$6:E470,E470)&gt;=1,MATCH(E470,$E$6:$E$1000,0),COUNTA(UNIQUE(E$6:E470))),"0000"))</f>
        <v/>
      </c>
    </row>
    <row r="471" spans="3:4">
      <c r="C471" s="1" t="str">
        <f t="shared" si="7"/>
        <v/>
      </c>
      <c r="D471" t="str">
        <f>IF(E471="","",TEXT(IF(COUNTIF(E$6:E471,E471)&gt;=1,MATCH(E471,$E$6:$E$1000,0),COUNTA(UNIQUE(E$6:E471))),"0000"))</f>
        <v/>
      </c>
    </row>
    <row r="472" spans="3:4">
      <c r="C472" s="1" t="str">
        <f t="shared" si="7"/>
        <v/>
      </c>
      <c r="D472" t="str">
        <f>IF(E472="","",TEXT(IF(COUNTIF(E$6:E472,E472)&gt;=1,MATCH(E472,$E$6:$E$1000,0),COUNTA(UNIQUE(E$6:E472))),"0000"))</f>
        <v/>
      </c>
    </row>
    <row r="473" spans="3:4">
      <c r="C473" s="1" t="str">
        <f t="shared" si="7"/>
        <v/>
      </c>
      <c r="D473" t="str">
        <f>IF(E473="","",TEXT(IF(COUNTIF(E$6:E473,E473)&gt;=1,MATCH(E473,$E$6:$E$1000,0),COUNTA(UNIQUE(E$6:E473))),"0000"))</f>
        <v/>
      </c>
    </row>
    <row r="474" spans="3:4">
      <c r="C474" s="1" t="str">
        <f t="shared" si="7"/>
        <v/>
      </c>
      <c r="D474" t="str">
        <f>IF(E474="","",TEXT(IF(COUNTIF(E$6:E474,E474)&gt;=1,MATCH(E474,$E$6:$E$1000,0),COUNTA(UNIQUE(E$6:E474))),"0000"))</f>
        <v/>
      </c>
    </row>
    <row r="475" spans="3:4">
      <c r="C475" s="1" t="str">
        <f t="shared" si="7"/>
        <v/>
      </c>
      <c r="D475" t="str">
        <f>IF(E475="","",TEXT(IF(COUNTIF(E$6:E475,E475)&gt;=1,MATCH(E475,$E$6:$E$1000,0),COUNTA(UNIQUE(E$6:E475))),"0000"))</f>
        <v/>
      </c>
    </row>
    <row r="476" spans="3:4">
      <c r="C476" s="1" t="str">
        <f t="shared" si="7"/>
        <v/>
      </c>
      <c r="D476" t="str">
        <f>IF(E476="","",TEXT(IF(COUNTIF(E$6:E476,E476)&gt;=1,MATCH(E476,$E$6:$E$1000,0),COUNTA(UNIQUE(E$6:E476))),"0000"))</f>
        <v/>
      </c>
    </row>
    <row r="477" spans="3:4">
      <c r="C477" s="1" t="str">
        <f t="shared" si="7"/>
        <v/>
      </c>
      <c r="D477" t="str">
        <f>IF(E477="","",TEXT(IF(COUNTIF(E$6:E477,E477)&gt;=1,MATCH(E477,$E$6:$E$1000,0),COUNTA(UNIQUE(E$6:E477))),"0000"))</f>
        <v/>
      </c>
    </row>
    <row r="478" spans="3:4">
      <c r="C478" s="1" t="str">
        <f t="shared" si="7"/>
        <v/>
      </c>
      <c r="D478" t="str">
        <f>IF(E478="","",TEXT(IF(COUNTIF(E$6:E478,E478)&gt;=1,MATCH(E478,$E$6:$E$1000,0),COUNTA(UNIQUE(E$6:E478))),"0000"))</f>
        <v/>
      </c>
    </row>
    <row r="479" spans="3:4">
      <c r="C479" s="1" t="str">
        <f t="shared" si="7"/>
        <v/>
      </c>
      <c r="D479" t="str">
        <f>IF(E479="","",TEXT(IF(COUNTIF(E$6:E479,E479)&gt;=1,MATCH(E479,$E$6:$E$1000,0),COUNTA(UNIQUE(E$6:E479))),"0000"))</f>
        <v/>
      </c>
    </row>
    <row r="480" spans="3:4">
      <c r="C480" s="1" t="str">
        <f t="shared" si="7"/>
        <v/>
      </c>
      <c r="D480" t="str">
        <f>IF(E480="","",TEXT(IF(COUNTIF(E$6:E480,E480)&gt;=1,MATCH(E480,$E$6:$E$1000,0),COUNTA(UNIQUE(E$6:E480))),"0000"))</f>
        <v/>
      </c>
    </row>
    <row r="481" spans="3:4">
      <c r="C481" s="1" t="str">
        <f t="shared" si="7"/>
        <v/>
      </c>
      <c r="D481" t="str">
        <f>IF(E481="","",TEXT(IF(COUNTIF(E$6:E481,E481)&gt;=1,MATCH(E481,$E$6:$E$1000,0),COUNTA(UNIQUE(E$6:E481))),"0000"))</f>
        <v/>
      </c>
    </row>
    <row r="482" spans="3:4">
      <c r="C482" s="1" t="str">
        <f t="shared" si="7"/>
        <v/>
      </c>
      <c r="D482" t="str">
        <f>IF(E482="","",TEXT(IF(COUNTIF(E$6:E482,E482)&gt;=1,MATCH(E482,$E$6:$E$1000,0),COUNTA(UNIQUE(E$6:E482))),"0000"))</f>
        <v/>
      </c>
    </row>
    <row r="483" spans="3:4">
      <c r="C483" s="1" t="str">
        <f t="shared" si="7"/>
        <v/>
      </c>
      <c r="D483" t="str">
        <f>IF(E483="","",TEXT(IF(COUNTIF(E$6:E483,E483)&gt;=1,MATCH(E483,$E$6:$E$1000,0),COUNTA(UNIQUE(E$6:E483))),"0000"))</f>
        <v/>
      </c>
    </row>
    <row r="484" spans="3:4">
      <c r="C484" s="1" t="str">
        <f t="shared" si="7"/>
        <v/>
      </c>
      <c r="D484" t="str">
        <f>IF(E484="","",TEXT(IF(COUNTIF(E$6:E484,E484)&gt;=1,MATCH(E484,$E$6:$E$1000,0),COUNTA(UNIQUE(E$6:E484))),"0000"))</f>
        <v/>
      </c>
    </row>
    <row r="485" spans="3:4">
      <c r="C485" s="1" t="str">
        <f t="shared" si="7"/>
        <v/>
      </c>
      <c r="D485" t="str">
        <f>IF(E485="","",TEXT(IF(COUNTIF(E$6:E485,E485)&gt;=1,MATCH(E485,$E$6:$E$1000,0),COUNTA(UNIQUE(E$6:E485))),"0000"))</f>
        <v/>
      </c>
    </row>
    <row r="486" spans="3:4">
      <c r="C486" s="1" t="str">
        <f t="shared" si="7"/>
        <v/>
      </c>
      <c r="D486" t="str">
        <f>IF(E486="","",TEXT(IF(COUNTIF(E$6:E486,E486)&gt;=1,MATCH(E486,$E$6:$E$1000,0),COUNTA(UNIQUE(E$6:E486))),"0000"))</f>
        <v/>
      </c>
    </row>
    <row r="487" spans="3:4">
      <c r="C487" s="1" t="str">
        <f t="shared" si="7"/>
        <v/>
      </c>
      <c r="D487" t="str">
        <f>IF(E487="","",TEXT(IF(COUNTIF(E$6:E487,E487)&gt;=1,MATCH(E487,$E$6:$E$1000,0),COUNTA(UNIQUE(E$6:E487))),"0000"))</f>
        <v/>
      </c>
    </row>
    <row r="488" spans="3:4">
      <c r="C488" s="1" t="str">
        <f t="shared" si="7"/>
        <v/>
      </c>
      <c r="D488" t="str">
        <f>IF(E488="","",TEXT(IF(COUNTIF(E$6:E488,E488)&gt;=1,MATCH(E488,$E$6:$E$1000,0),COUNTA(UNIQUE(E$6:E488))),"0000"))</f>
        <v/>
      </c>
    </row>
    <row r="489" spans="3:4">
      <c r="C489" s="1" t="str">
        <f t="shared" si="7"/>
        <v/>
      </c>
      <c r="D489" t="str">
        <f>IF(E489="","",TEXT(IF(COUNTIF(E$6:E489,E489)&gt;=1,MATCH(E489,$E$6:$E$1000,0),COUNTA(UNIQUE(E$6:E489))),"0000"))</f>
        <v/>
      </c>
    </row>
    <row r="490" spans="3:4">
      <c r="C490" s="1" t="str">
        <f t="shared" si="7"/>
        <v/>
      </c>
      <c r="D490" t="str">
        <f>IF(E490="","",TEXT(IF(COUNTIF(E$6:E490,E490)&gt;=1,MATCH(E490,$E$6:$E$1000,0),COUNTA(UNIQUE(E$6:E490))),"0000"))</f>
        <v/>
      </c>
    </row>
    <row r="491" spans="3:4">
      <c r="C491" s="1" t="str">
        <f t="shared" si="7"/>
        <v/>
      </c>
      <c r="D491" t="str">
        <f>IF(E491="","",TEXT(IF(COUNTIF(E$6:E491,E491)&gt;=1,MATCH(E491,$E$6:$E$1000,0),COUNTA(UNIQUE(E$6:E491))),"0000"))</f>
        <v/>
      </c>
    </row>
    <row r="492" spans="3:4">
      <c r="C492" s="1" t="str">
        <f t="shared" si="7"/>
        <v/>
      </c>
      <c r="D492" t="str">
        <f>IF(E492="","",TEXT(IF(COUNTIF(E$6:E492,E492)&gt;=1,MATCH(E492,$E$6:$E$1000,0),COUNTA(UNIQUE(E$6:E492))),"0000"))</f>
        <v/>
      </c>
    </row>
    <row r="493" spans="3:4">
      <c r="C493" s="1" t="str">
        <f t="shared" si="7"/>
        <v/>
      </c>
      <c r="D493" t="str">
        <f>IF(E493="","",TEXT(IF(COUNTIF(E$6:E493,E493)&gt;=1,MATCH(E493,$E$6:$E$1000,0),COUNTA(UNIQUE(E$6:E493))),"0000"))</f>
        <v/>
      </c>
    </row>
    <row r="494" spans="3:4">
      <c r="C494" s="1" t="str">
        <f t="shared" si="7"/>
        <v/>
      </c>
      <c r="D494" t="str">
        <f>IF(E494="","",TEXT(IF(COUNTIF(E$6:E494,E494)&gt;=1,MATCH(E494,$E$6:$E$1000,0),COUNTA(UNIQUE(E$6:E494))),"0000"))</f>
        <v/>
      </c>
    </row>
    <row r="495" spans="3:4">
      <c r="C495" s="1" t="str">
        <f t="shared" si="7"/>
        <v/>
      </c>
      <c r="D495" t="str">
        <f>IF(E495="","",TEXT(IF(COUNTIF(E$6:E495,E495)&gt;=1,MATCH(E495,$E$6:$E$1000,0),COUNTA(UNIQUE(E$6:E495))),"0000"))</f>
        <v/>
      </c>
    </row>
    <row r="496" spans="3:4">
      <c r="C496" s="1" t="str">
        <f t="shared" si="7"/>
        <v/>
      </c>
      <c r="D496" t="str">
        <f>IF(E496="","",TEXT(IF(COUNTIF(E$6:E496,E496)&gt;=1,MATCH(E496,$E$6:$E$1000,0),COUNTA(UNIQUE(E$6:E496))),"0000"))</f>
        <v/>
      </c>
    </row>
    <row r="497" spans="3:4">
      <c r="C497" s="1" t="str">
        <f t="shared" si="7"/>
        <v/>
      </c>
      <c r="D497" t="str">
        <f>IF(E497="","",TEXT(IF(COUNTIF(E$6:E497,E497)&gt;=1,MATCH(E497,$E$6:$E$1000,0),COUNTA(UNIQUE(E$6:E497))),"0000"))</f>
        <v/>
      </c>
    </row>
    <row r="498" spans="3:4">
      <c r="C498" s="1" t="str">
        <f t="shared" si="7"/>
        <v/>
      </c>
      <c r="D498" t="str">
        <f>IF(E498="","",TEXT(IF(COUNTIF(E$6:E498,E498)&gt;=1,MATCH(E498,$E$6:$E$1000,0),COUNTA(UNIQUE(E$6:E498))),"0000"))</f>
        <v/>
      </c>
    </row>
    <row r="499" spans="3:4">
      <c r="C499" s="1" t="str">
        <f t="shared" si="7"/>
        <v/>
      </c>
      <c r="D499" t="str">
        <f>IF(E499="","",TEXT(IF(COUNTIF(E$6:E499,E499)&gt;=1,MATCH(E499,$E$6:$E$1000,0),COUNTA(UNIQUE(E$6:E499))),"0000"))</f>
        <v/>
      </c>
    </row>
    <row r="500" spans="3:4">
      <c r="C500" s="1" t="str">
        <f t="shared" si="7"/>
        <v/>
      </c>
      <c r="D500" t="str">
        <f>IF(E500="","",TEXT(IF(COUNTIF(E$6:E500,E500)&gt;=1,MATCH(E500,$E$6:$E$1000,0),COUNTA(UNIQUE(E$6:E500))),"0000"))</f>
        <v/>
      </c>
    </row>
    <row r="501" spans="3:4">
      <c r="C501" s="1" t="str">
        <f t="shared" si="7"/>
        <v/>
      </c>
      <c r="D501" t="str">
        <f>IF(E501="","",TEXT(IF(COUNTIF(E$6:E501,E501)&gt;=1,MATCH(E501,$E$6:$E$1000,0),COUNTA(UNIQUE(E$6:E501))),"0000"))</f>
        <v/>
      </c>
    </row>
    <row r="502" spans="3:4">
      <c r="C502" s="1" t="str">
        <f t="shared" si="7"/>
        <v/>
      </c>
      <c r="D502" t="str">
        <f>IF(E502="","",TEXT(IF(COUNTIF(E$6:E502,E502)&gt;=1,MATCH(E502,$E$6:$E$1000,0),COUNTA(UNIQUE(E$6:E502))),"0000"))</f>
        <v/>
      </c>
    </row>
    <row r="503" spans="3:4">
      <c r="C503" s="1" t="str">
        <f t="shared" si="7"/>
        <v/>
      </c>
      <c r="D503" t="str">
        <f>IF(E503="","",TEXT(IF(COUNTIF(E$6:E503,E503)&gt;=1,MATCH(E503,$E$6:$E$1000,0),COUNTA(UNIQUE(E$6:E503))),"0000"))</f>
        <v/>
      </c>
    </row>
    <row r="504" spans="3:4">
      <c r="C504" s="1" t="str">
        <f t="shared" si="7"/>
        <v/>
      </c>
      <c r="D504" t="str">
        <f>IF(E504="","",TEXT(IF(COUNTIF(E$6:E504,E504)&gt;=1,MATCH(E504,$E$6:$E$1000,0),COUNTA(UNIQUE(E$6:E504))),"0000"))</f>
        <v/>
      </c>
    </row>
    <row r="505" spans="3:4">
      <c r="C505" s="1" t="str">
        <f t="shared" si="7"/>
        <v/>
      </c>
      <c r="D505" t="str">
        <f>IF(E505="","",TEXT(IF(COUNTIF(E$6:E505,E505)&gt;=1,MATCH(E505,$E$6:$E$1000,0),COUNTA(UNIQUE(E$6:E505))),"0000"))</f>
        <v/>
      </c>
    </row>
    <row r="506" spans="3:4">
      <c r="C506" s="1" t="str">
        <f t="shared" si="7"/>
        <v/>
      </c>
      <c r="D506" t="str">
        <f>IF(E506="","",TEXT(IF(COUNTIF(E$6:E506,E506)&gt;=1,MATCH(E506,$E$6:$E$1000,0),COUNTA(UNIQUE(E$6:E506))),"0000"))</f>
        <v/>
      </c>
    </row>
    <row r="507" spans="3:4">
      <c r="C507" s="1" t="str">
        <f t="shared" si="7"/>
        <v/>
      </c>
      <c r="D507" t="str">
        <f>IF(E507="","",TEXT(IF(COUNTIF(E$6:E507,E507)&gt;=1,MATCH(E507,$E$6:$E$1000,0),COUNTA(UNIQUE(E$6:E507))),"0000"))</f>
        <v/>
      </c>
    </row>
    <row r="508" spans="3:4">
      <c r="C508" s="1" t="str">
        <f t="shared" si="7"/>
        <v/>
      </c>
      <c r="D508" t="str">
        <f>IF(E508="","",TEXT(IF(COUNTIF(E$6:E508,E508)&gt;=1,MATCH(E508,$E$6:$E$1000,0),COUNTA(UNIQUE(E$6:E508))),"0000"))</f>
        <v/>
      </c>
    </row>
    <row r="509" spans="3:4">
      <c r="C509" s="1" t="str">
        <f t="shared" si="7"/>
        <v/>
      </c>
      <c r="D509" t="str">
        <f>IF(E509="","",TEXT(IF(COUNTIF(E$6:E509,E509)&gt;=1,MATCH(E509,$E$6:$E$1000,0),COUNTA(UNIQUE(E$6:E509))),"0000"))</f>
        <v/>
      </c>
    </row>
    <row r="510" spans="3:4">
      <c r="C510" s="1" t="str">
        <f t="shared" si="7"/>
        <v/>
      </c>
      <c r="D510" t="str">
        <f>IF(E510="","",TEXT(IF(COUNTIF(E$6:E510,E510)&gt;=1,MATCH(E510,$E$6:$E$1000,0),COUNTA(UNIQUE(E$6:E510))),"0000"))</f>
        <v/>
      </c>
    </row>
    <row r="511" spans="3:4">
      <c r="C511" s="1" t="str">
        <f t="shared" si="7"/>
        <v/>
      </c>
      <c r="D511" t="str">
        <f>IF(E511="","",TEXT(IF(COUNTIF(E$6:E511,E511)&gt;=1,MATCH(E511,$E$6:$E$1000,0),COUNTA(UNIQUE(E$6:E511))),"0000"))</f>
        <v/>
      </c>
    </row>
    <row r="512" spans="3:4">
      <c r="C512" s="1" t="str">
        <f t="shared" si="7"/>
        <v/>
      </c>
      <c r="D512" t="str">
        <f>IF(E512="","",TEXT(IF(COUNTIF(E$6:E512,E512)&gt;=1,MATCH(E512,$E$6:$E$1000,0),COUNTA(UNIQUE(E$6:E512))),"0000"))</f>
        <v/>
      </c>
    </row>
    <row r="513" spans="3:4">
      <c r="C513" s="1" t="str">
        <f t="shared" si="7"/>
        <v/>
      </c>
      <c r="D513" t="str">
        <f>IF(E513="","",TEXT(IF(COUNTIF(E$6:E513,E513)&gt;=1,MATCH(E513,$E$6:$E$1000,0),COUNTA(UNIQUE(E$6:E513))),"0000"))</f>
        <v/>
      </c>
    </row>
    <row r="514" spans="3:4">
      <c r="C514" s="1" t="str">
        <f t="shared" si="7"/>
        <v/>
      </c>
      <c r="D514" t="str">
        <f>IF(E514="","",TEXT(IF(COUNTIF(E$6:E514,E514)&gt;=1,MATCH(E514,$E$6:$E$1000,0),COUNTA(UNIQUE(E$6:E514))),"0000"))</f>
        <v/>
      </c>
    </row>
    <row r="515" spans="3:4">
      <c r="C515" s="1" t="str">
        <f t="shared" si="7"/>
        <v/>
      </c>
      <c r="D515" t="str">
        <f>IF(E515="","",TEXT(IF(COUNTIF(E$6:E515,E515)&gt;=1,MATCH(E515,$E$6:$E$1000,0),COUNTA(UNIQUE(E$6:E515))),"0000"))</f>
        <v/>
      </c>
    </row>
    <row r="516" spans="3:4">
      <c r="C516" s="1" t="str">
        <f t="shared" si="7"/>
        <v/>
      </c>
      <c r="D516" t="str">
        <f>IF(E516="","",TEXT(IF(COUNTIF(E$6:E516,E516)&gt;=1,MATCH(E516,$E$6:$E$1000,0),COUNTA(UNIQUE(E$6:E516))),"0000"))</f>
        <v/>
      </c>
    </row>
    <row r="517" spans="3:4">
      <c r="C517" s="1" t="str">
        <f t="shared" si="7"/>
        <v/>
      </c>
      <c r="D517" t="str">
        <f>IF(E517="","",TEXT(IF(COUNTIF(E$6:E517,E517)&gt;=1,MATCH(E517,$E$6:$E$1000,0),COUNTA(UNIQUE(E$6:E517))),"0000"))</f>
        <v/>
      </c>
    </row>
    <row r="518" spans="3:4">
      <c r="C518" s="1" t="str">
        <f t="shared" si="7"/>
        <v/>
      </c>
      <c r="D518" t="str">
        <f>IF(E518="","",TEXT(IF(COUNTIF(E$6:E518,E518)&gt;=1,MATCH(E518,$E$6:$E$1000,0),COUNTA(UNIQUE(E$6:E518))),"0000"))</f>
        <v/>
      </c>
    </row>
    <row r="519" spans="3:4">
      <c r="C519" s="1" t="str">
        <f t="shared" ref="C519:C582" si="8">IF(AND(D519="",E519=""),"",ROW(C514))</f>
        <v/>
      </c>
      <c r="D519" t="str">
        <f>IF(E519="","",TEXT(IF(COUNTIF(E$6:E519,E519)&gt;=1,MATCH(E519,$E$6:$E$1000,0),COUNTA(UNIQUE(E$6:E519))),"0000"))</f>
        <v/>
      </c>
    </row>
    <row r="520" spans="3:4">
      <c r="C520" s="1" t="str">
        <f t="shared" si="8"/>
        <v/>
      </c>
      <c r="D520" t="str">
        <f>IF(E520="","",TEXT(IF(COUNTIF(E$6:E520,E520)&gt;=1,MATCH(E520,$E$6:$E$1000,0),COUNTA(UNIQUE(E$6:E520))),"0000"))</f>
        <v/>
      </c>
    </row>
    <row r="521" spans="3:4">
      <c r="C521" s="1" t="str">
        <f t="shared" si="8"/>
        <v/>
      </c>
      <c r="D521" t="str">
        <f>IF(E521="","",TEXT(IF(COUNTIF(E$6:E521,E521)&gt;=1,MATCH(E521,$E$6:$E$1000,0),COUNTA(UNIQUE(E$6:E521))),"0000"))</f>
        <v/>
      </c>
    </row>
    <row r="522" spans="3:4">
      <c r="C522" s="1" t="str">
        <f t="shared" si="8"/>
        <v/>
      </c>
      <c r="D522" t="str">
        <f>IF(E522="","",TEXT(IF(COUNTIF(E$6:E522,E522)&gt;=1,MATCH(E522,$E$6:$E$1000,0),COUNTA(UNIQUE(E$6:E522))),"0000"))</f>
        <v/>
      </c>
    </row>
    <row r="523" spans="3:4">
      <c r="C523" s="1" t="str">
        <f t="shared" si="8"/>
        <v/>
      </c>
      <c r="D523" t="str">
        <f>IF(E523="","",TEXT(IF(COUNTIF(E$6:E523,E523)&gt;=1,MATCH(E523,$E$6:$E$1000,0),COUNTA(UNIQUE(E$6:E523))),"0000"))</f>
        <v/>
      </c>
    </row>
    <row r="524" spans="3:4">
      <c r="C524" s="1" t="str">
        <f t="shared" si="8"/>
        <v/>
      </c>
      <c r="D524" t="str">
        <f>IF(E524="","",TEXT(IF(COUNTIF(E$6:E524,E524)&gt;=1,MATCH(E524,$E$6:$E$1000,0),COUNTA(UNIQUE(E$6:E524))),"0000"))</f>
        <v/>
      </c>
    </row>
    <row r="525" spans="3:4">
      <c r="C525" s="1" t="str">
        <f t="shared" si="8"/>
        <v/>
      </c>
      <c r="D525" t="str">
        <f>IF(E525="","",TEXT(IF(COUNTIF(E$6:E525,E525)&gt;=1,MATCH(E525,$E$6:$E$1000,0),COUNTA(UNIQUE(E$6:E525))),"0000"))</f>
        <v/>
      </c>
    </row>
    <row r="526" spans="3:4">
      <c r="C526" s="1" t="str">
        <f t="shared" si="8"/>
        <v/>
      </c>
      <c r="D526" t="str">
        <f>IF(E526="","",TEXT(IF(COUNTIF(E$6:E526,E526)&gt;=1,MATCH(E526,$E$6:$E$1000,0),COUNTA(UNIQUE(E$6:E526))),"0000"))</f>
        <v/>
      </c>
    </row>
    <row r="527" spans="3:4">
      <c r="C527" s="1" t="str">
        <f t="shared" si="8"/>
        <v/>
      </c>
      <c r="D527" t="str">
        <f>IF(E527="","",TEXT(IF(COUNTIF(E$6:E527,E527)&gt;=1,MATCH(E527,$E$6:$E$1000,0),COUNTA(UNIQUE(E$6:E527))),"0000"))</f>
        <v/>
      </c>
    </row>
    <row r="528" spans="3:4">
      <c r="C528" s="1" t="str">
        <f t="shared" si="8"/>
        <v/>
      </c>
      <c r="D528" t="str">
        <f>IF(E528="","",TEXT(IF(COUNTIF(E$6:E528,E528)&gt;=1,MATCH(E528,$E$6:$E$1000,0),COUNTA(UNIQUE(E$6:E528))),"0000"))</f>
        <v/>
      </c>
    </row>
    <row r="529" spans="3:4">
      <c r="C529" s="1" t="str">
        <f t="shared" si="8"/>
        <v/>
      </c>
      <c r="D529" t="str">
        <f>IF(E529="","",TEXT(IF(COUNTIF(E$6:E529,E529)&gt;=1,MATCH(E529,$E$6:$E$1000,0),COUNTA(UNIQUE(E$6:E529))),"0000"))</f>
        <v/>
      </c>
    </row>
    <row r="530" spans="3:4">
      <c r="C530" s="1" t="str">
        <f t="shared" si="8"/>
        <v/>
      </c>
      <c r="D530" t="str">
        <f>IF(E530="","",TEXT(IF(COUNTIF(E$6:E530,E530)&gt;=1,MATCH(E530,$E$6:$E$1000,0),COUNTA(UNIQUE(E$6:E530))),"0000"))</f>
        <v/>
      </c>
    </row>
    <row r="531" spans="3:4">
      <c r="C531" s="1" t="str">
        <f t="shared" si="8"/>
        <v/>
      </c>
      <c r="D531" t="str">
        <f>IF(E531="","",TEXT(IF(COUNTIF(E$6:E531,E531)&gt;=1,MATCH(E531,$E$6:$E$1000,0),COUNTA(UNIQUE(E$6:E531))),"0000"))</f>
        <v/>
      </c>
    </row>
    <row r="532" spans="3:4">
      <c r="C532" s="1" t="str">
        <f t="shared" si="8"/>
        <v/>
      </c>
      <c r="D532" t="str">
        <f>IF(E532="","",TEXT(IF(COUNTIF(E$6:E532,E532)&gt;=1,MATCH(E532,$E$6:$E$1000,0),COUNTA(UNIQUE(E$6:E532))),"0000"))</f>
        <v/>
      </c>
    </row>
    <row r="533" spans="3:4">
      <c r="C533" s="1" t="str">
        <f t="shared" si="8"/>
        <v/>
      </c>
      <c r="D533" t="str">
        <f>IF(E533="","",TEXT(IF(COUNTIF(E$6:E533,E533)&gt;=1,MATCH(E533,$E$6:$E$1000,0),COUNTA(UNIQUE(E$6:E533))),"0000"))</f>
        <v/>
      </c>
    </row>
    <row r="534" spans="3:4">
      <c r="C534" s="1" t="str">
        <f t="shared" si="8"/>
        <v/>
      </c>
      <c r="D534" t="str">
        <f>IF(E534="","",TEXT(IF(COUNTIF(E$6:E534,E534)&gt;=1,MATCH(E534,$E$6:$E$1000,0),COUNTA(UNIQUE(E$6:E534))),"0000"))</f>
        <v/>
      </c>
    </row>
    <row r="535" spans="3:4">
      <c r="C535" s="1" t="str">
        <f t="shared" si="8"/>
        <v/>
      </c>
      <c r="D535" t="str">
        <f>IF(E535="","",TEXT(IF(COUNTIF(E$6:E535,E535)&gt;=1,MATCH(E535,$E$6:$E$1000,0),COUNTA(UNIQUE(E$6:E535))),"0000"))</f>
        <v/>
      </c>
    </row>
    <row r="536" spans="3:4">
      <c r="C536" s="1" t="str">
        <f t="shared" si="8"/>
        <v/>
      </c>
      <c r="D536" t="str">
        <f>IF(E536="","",TEXT(IF(COUNTIF(E$6:E536,E536)&gt;=1,MATCH(E536,$E$6:$E$1000,0),COUNTA(UNIQUE(E$6:E536))),"0000"))</f>
        <v/>
      </c>
    </row>
    <row r="537" spans="3:4">
      <c r="C537" s="1" t="str">
        <f t="shared" si="8"/>
        <v/>
      </c>
      <c r="D537" t="str">
        <f>IF(E537="","",TEXT(IF(COUNTIF(E$6:E537,E537)&gt;=1,MATCH(E537,$E$6:$E$1000,0),COUNTA(UNIQUE(E$6:E537))),"0000"))</f>
        <v/>
      </c>
    </row>
    <row r="538" spans="3:4">
      <c r="C538" s="1" t="str">
        <f t="shared" si="8"/>
        <v/>
      </c>
      <c r="D538" t="str">
        <f>IF(E538="","",TEXT(IF(COUNTIF(E$6:E538,E538)&gt;=1,MATCH(E538,$E$6:$E$1000,0),COUNTA(UNIQUE(E$6:E538))),"0000"))</f>
        <v/>
      </c>
    </row>
    <row r="539" spans="3:4">
      <c r="C539" s="1" t="str">
        <f t="shared" si="8"/>
        <v/>
      </c>
      <c r="D539" t="str">
        <f>IF(E539="","",TEXT(IF(COUNTIF(E$6:E539,E539)&gt;=1,MATCH(E539,$E$6:$E$1000,0),COUNTA(UNIQUE(E$6:E539))),"0000"))</f>
        <v/>
      </c>
    </row>
    <row r="540" spans="3:4">
      <c r="C540" s="1" t="str">
        <f t="shared" si="8"/>
        <v/>
      </c>
      <c r="D540" t="str">
        <f>IF(E540="","",TEXT(IF(COUNTIF(E$6:E540,E540)&gt;=1,MATCH(E540,$E$6:$E$1000,0),COUNTA(UNIQUE(E$6:E540))),"0000"))</f>
        <v/>
      </c>
    </row>
    <row r="541" spans="3:4">
      <c r="C541" s="1" t="str">
        <f t="shared" si="8"/>
        <v/>
      </c>
      <c r="D541" t="str">
        <f>IF(E541="","",TEXT(IF(COUNTIF(E$6:E541,E541)&gt;=1,MATCH(E541,$E$6:$E$1000,0),COUNTA(UNIQUE(E$6:E541))),"0000"))</f>
        <v/>
      </c>
    </row>
    <row r="542" spans="3:4">
      <c r="C542" s="1" t="str">
        <f t="shared" si="8"/>
        <v/>
      </c>
      <c r="D542" t="str">
        <f>IF(E542="","",TEXT(IF(COUNTIF(E$6:E542,E542)&gt;=1,MATCH(E542,$E$6:$E$1000,0),COUNTA(UNIQUE(E$6:E542))),"0000"))</f>
        <v/>
      </c>
    </row>
    <row r="543" spans="3:4">
      <c r="C543" s="1" t="str">
        <f t="shared" si="8"/>
        <v/>
      </c>
      <c r="D543" t="str">
        <f>IF(E543="","",TEXT(IF(COUNTIF(E$6:E543,E543)&gt;=1,MATCH(E543,$E$6:$E$1000,0),COUNTA(UNIQUE(E$6:E543))),"0000"))</f>
        <v/>
      </c>
    </row>
    <row r="544" spans="3:4">
      <c r="C544" s="1" t="str">
        <f t="shared" si="8"/>
        <v/>
      </c>
      <c r="D544" t="str">
        <f>IF(E544="","",TEXT(IF(COUNTIF(E$6:E544,E544)&gt;=1,MATCH(E544,$E$6:$E$1000,0),COUNTA(UNIQUE(E$6:E544))),"0000"))</f>
        <v/>
      </c>
    </row>
    <row r="545" spans="3:4">
      <c r="C545" s="1" t="str">
        <f t="shared" si="8"/>
        <v/>
      </c>
      <c r="D545" t="str">
        <f>IF(E545="","",TEXT(IF(COUNTIF(E$6:E545,E545)&gt;=1,MATCH(E545,$E$6:$E$1000,0),COUNTA(UNIQUE(E$6:E545))),"0000"))</f>
        <v/>
      </c>
    </row>
    <row r="546" spans="3:4">
      <c r="C546" s="1" t="str">
        <f t="shared" si="8"/>
        <v/>
      </c>
      <c r="D546" t="str">
        <f>IF(E546="","",TEXT(IF(COUNTIF(E$6:E546,E546)&gt;=1,MATCH(E546,$E$6:$E$1000,0),COUNTA(UNIQUE(E$6:E546))),"0000"))</f>
        <v/>
      </c>
    </row>
    <row r="547" spans="3:4">
      <c r="C547" s="1" t="str">
        <f t="shared" si="8"/>
        <v/>
      </c>
      <c r="D547" t="str">
        <f>IF(E547="","",TEXT(IF(COUNTIF(E$6:E547,E547)&gt;=1,MATCH(E547,$E$6:$E$1000,0),COUNTA(UNIQUE(E$6:E547))),"0000"))</f>
        <v/>
      </c>
    </row>
    <row r="548" spans="3:4">
      <c r="C548" s="1" t="str">
        <f t="shared" si="8"/>
        <v/>
      </c>
      <c r="D548" t="str">
        <f>IF(E548="","",TEXT(IF(COUNTIF(E$6:E548,E548)&gt;=1,MATCH(E548,$E$6:$E$1000,0),COUNTA(UNIQUE(E$6:E548))),"0000"))</f>
        <v/>
      </c>
    </row>
    <row r="549" spans="3:4">
      <c r="C549" s="1" t="str">
        <f t="shared" si="8"/>
        <v/>
      </c>
      <c r="D549" t="str">
        <f>IF(E549="","",TEXT(IF(COUNTIF(E$6:E549,E549)&gt;=1,MATCH(E549,$E$6:$E$1000,0),COUNTA(UNIQUE(E$6:E549))),"0000"))</f>
        <v/>
      </c>
    </row>
    <row r="550" spans="3:4">
      <c r="C550" s="1" t="str">
        <f t="shared" si="8"/>
        <v/>
      </c>
      <c r="D550" t="str">
        <f>IF(E550="","",TEXT(IF(COUNTIF(E$6:E550,E550)&gt;=1,MATCH(E550,$E$6:$E$1000,0),COUNTA(UNIQUE(E$6:E550))),"0000"))</f>
        <v/>
      </c>
    </row>
    <row r="551" spans="3:4">
      <c r="C551" s="1" t="str">
        <f t="shared" si="8"/>
        <v/>
      </c>
      <c r="D551" t="str">
        <f>IF(E551="","",TEXT(IF(COUNTIF(E$6:E551,E551)&gt;=1,MATCH(E551,$E$6:$E$1000,0),COUNTA(UNIQUE(E$6:E551))),"0000"))</f>
        <v/>
      </c>
    </row>
    <row r="552" spans="3:4">
      <c r="C552" s="1" t="str">
        <f t="shared" si="8"/>
        <v/>
      </c>
      <c r="D552" t="str">
        <f>IF(E552="","",TEXT(IF(COUNTIF(E$6:E552,E552)&gt;=1,MATCH(E552,$E$6:$E$1000,0),COUNTA(UNIQUE(E$6:E552))),"0000"))</f>
        <v/>
      </c>
    </row>
    <row r="553" spans="3:4">
      <c r="C553" s="1" t="str">
        <f t="shared" si="8"/>
        <v/>
      </c>
      <c r="D553" t="str">
        <f>IF(E553="","",TEXT(IF(COUNTIF(E$6:E553,E553)&gt;=1,MATCH(E553,$E$6:$E$1000,0),COUNTA(UNIQUE(E$6:E553))),"0000"))</f>
        <v/>
      </c>
    </row>
    <row r="554" spans="3:4">
      <c r="C554" s="1" t="str">
        <f t="shared" si="8"/>
        <v/>
      </c>
      <c r="D554" t="str">
        <f>IF(E554="","",TEXT(IF(COUNTIF(E$6:E554,E554)&gt;=1,MATCH(E554,$E$6:$E$1000,0),COUNTA(UNIQUE(E$6:E554))),"0000"))</f>
        <v/>
      </c>
    </row>
    <row r="555" spans="3:4">
      <c r="C555" s="1" t="str">
        <f t="shared" si="8"/>
        <v/>
      </c>
      <c r="D555" t="str">
        <f>IF(E555="","",TEXT(IF(COUNTIF(E$6:E555,E555)&gt;=1,MATCH(E555,$E$6:$E$1000,0),COUNTA(UNIQUE(E$6:E555))),"0000"))</f>
        <v/>
      </c>
    </row>
    <row r="556" spans="3:4">
      <c r="C556" s="1" t="str">
        <f t="shared" si="8"/>
        <v/>
      </c>
      <c r="D556" t="str">
        <f>IF(E556="","",TEXT(IF(COUNTIF(E$6:E556,E556)&gt;=1,MATCH(E556,$E$6:$E$1000,0),COUNTA(UNIQUE(E$6:E556))),"0000"))</f>
        <v/>
      </c>
    </row>
    <row r="557" spans="3:4">
      <c r="C557" s="1" t="str">
        <f t="shared" si="8"/>
        <v/>
      </c>
      <c r="D557" t="str">
        <f>IF(E557="","",TEXT(IF(COUNTIF(E$6:E557,E557)&gt;=1,MATCH(E557,$E$6:$E$1000,0),COUNTA(UNIQUE(E$6:E557))),"0000"))</f>
        <v/>
      </c>
    </row>
    <row r="558" spans="3:4">
      <c r="C558" s="1" t="str">
        <f t="shared" si="8"/>
        <v/>
      </c>
      <c r="D558" t="str">
        <f>IF(E558="","",TEXT(IF(COUNTIF(E$6:E558,E558)&gt;=1,MATCH(E558,$E$6:$E$1000,0),COUNTA(UNIQUE(E$6:E558))),"0000"))</f>
        <v/>
      </c>
    </row>
    <row r="559" spans="3:4">
      <c r="C559" s="1" t="str">
        <f t="shared" si="8"/>
        <v/>
      </c>
      <c r="D559" t="str">
        <f>IF(E559="","",TEXT(IF(COUNTIF(E$6:E559,E559)&gt;=1,MATCH(E559,$E$6:$E$1000,0),COUNTA(UNIQUE(E$6:E559))),"0000"))</f>
        <v/>
      </c>
    </row>
    <row r="560" spans="3:4">
      <c r="C560" s="1" t="str">
        <f t="shared" si="8"/>
        <v/>
      </c>
      <c r="D560" t="str">
        <f>IF(E560="","",TEXT(IF(COUNTIF(E$6:E560,E560)&gt;=1,MATCH(E560,$E$6:$E$1000,0),COUNTA(UNIQUE(E$6:E560))),"0000"))</f>
        <v/>
      </c>
    </row>
    <row r="561" spans="3:4">
      <c r="C561" s="1" t="str">
        <f t="shared" si="8"/>
        <v/>
      </c>
      <c r="D561" t="str">
        <f>IF(E561="","",TEXT(IF(COUNTIF(E$6:E561,E561)&gt;=1,MATCH(E561,$E$6:$E$1000,0),COUNTA(UNIQUE(E$6:E561))),"0000"))</f>
        <v/>
      </c>
    </row>
    <row r="562" spans="3:4">
      <c r="C562" s="1" t="str">
        <f t="shared" si="8"/>
        <v/>
      </c>
      <c r="D562" t="str">
        <f>IF(E562="","",TEXT(IF(COUNTIF(E$6:E562,E562)&gt;=1,MATCH(E562,$E$6:$E$1000,0),COUNTA(UNIQUE(E$6:E562))),"0000"))</f>
        <v/>
      </c>
    </row>
    <row r="563" spans="3:4">
      <c r="C563" s="1" t="str">
        <f t="shared" si="8"/>
        <v/>
      </c>
      <c r="D563" t="str">
        <f>IF(E563="","",TEXT(IF(COUNTIF(E$6:E563,E563)&gt;=1,MATCH(E563,$E$6:$E$1000,0),COUNTA(UNIQUE(E$6:E563))),"0000"))</f>
        <v/>
      </c>
    </row>
    <row r="564" spans="3:4">
      <c r="C564" s="1" t="str">
        <f t="shared" si="8"/>
        <v/>
      </c>
      <c r="D564" t="str">
        <f>IF(E564="","",TEXT(IF(COUNTIF(E$6:E564,E564)&gt;=1,MATCH(E564,$E$6:$E$1000,0),COUNTA(UNIQUE(E$6:E564))),"0000"))</f>
        <v/>
      </c>
    </row>
    <row r="565" spans="3:4">
      <c r="C565" s="1" t="str">
        <f t="shared" si="8"/>
        <v/>
      </c>
      <c r="D565" t="str">
        <f>IF(E565="","",TEXT(IF(COUNTIF(E$6:E565,E565)&gt;=1,MATCH(E565,$E$6:$E$1000,0),COUNTA(UNIQUE(E$6:E565))),"0000"))</f>
        <v/>
      </c>
    </row>
    <row r="566" spans="3:4">
      <c r="C566" s="1" t="str">
        <f t="shared" si="8"/>
        <v/>
      </c>
      <c r="D566" t="str">
        <f>IF(E566="","",TEXT(IF(COUNTIF(E$6:E566,E566)&gt;=1,MATCH(E566,$E$6:$E$1000,0),COUNTA(UNIQUE(E$6:E566))),"0000"))</f>
        <v/>
      </c>
    </row>
    <row r="567" spans="3:4">
      <c r="C567" s="1" t="str">
        <f t="shared" si="8"/>
        <v/>
      </c>
      <c r="D567" t="str">
        <f>IF(E567="","",TEXT(IF(COUNTIF(E$6:E567,E567)&gt;=1,MATCH(E567,$E$6:$E$1000,0),COUNTA(UNIQUE(E$6:E567))),"0000"))</f>
        <v/>
      </c>
    </row>
    <row r="568" spans="3:4">
      <c r="C568" s="1" t="str">
        <f t="shared" si="8"/>
        <v/>
      </c>
      <c r="D568" t="str">
        <f>IF(E568="","",TEXT(IF(COUNTIF(E$6:E568,E568)&gt;=1,MATCH(E568,$E$6:$E$1000,0),COUNTA(UNIQUE(E$6:E568))),"0000"))</f>
        <v/>
      </c>
    </row>
    <row r="569" spans="3:4">
      <c r="C569" s="1" t="str">
        <f t="shared" si="8"/>
        <v/>
      </c>
      <c r="D569" t="str">
        <f>IF(E569="","",TEXT(IF(COUNTIF(E$6:E569,E569)&gt;=1,MATCH(E569,$E$6:$E$1000,0),COUNTA(UNIQUE(E$6:E569))),"0000"))</f>
        <v/>
      </c>
    </row>
    <row r="570" spans="3:4">
      <c r="C570" s="1" t="str">
        <f t="shared" si="8"/>
        <v/>
      </c>
      <c r="D570" t="str">
        <f>IF(E570="","",TEXT(IF(COUNTIF(E$6:E570,E570)&gt;=1,MATCH(E570,$E$6:$E$1000,0),COUNTA(UNIQUE(E$6:E570))),"0000"))</f>
        <v/>
      </c>
    </row>
    <row r="571" spans="3:4">
      <c r="C571" s="1" t="str">
        <f t="shared" si="8"/>
        <v/>
      </c>
      <c r="D571" t="str">
        <f>IF(E571="","",TEXT(IF(COUNTIF(E$6:E571,E571)&gt;=1,MATCH(E571,$E$6:$E$1000,0),COUNTA(UNIQUE(E$6:E571))),"0000"))</f>
        <v/>
      </c>
    </row>
    <row r="572" spans="3:4">
      <c r="C572" s="1" t="str">
        <f t="shared" si="8"/>
        <v/>
      </c>
      <c r="D572" t="str">
        <f>IF(E572="","",TEXT(IF(COUNTIF(E$6:E572,E572)&gt;=1,MATCH(E572,$E$6:$E$1000,0),COUNTA(UNIQUE(E$6:E572))),"0000"))</f>
        <v/>
      </c>
    </row>
    <row r="573" spans="3:4">
      <c r="C573" s="1" t="str">
        <f t="shared" si="8"/>
        <v/>
      </c>
      <c r="D573" t="str">
        <f>IF(E573="","",TEXT(IF(COUNTIF(E$6:E573,E573)&gt;=1,MATCH(E573,$E$6:$E$1000,0),COUNTA(UNIQUE(E$6:E573))),"0000"))</f>
        <v/>
      </c>
    </row>
    <row r="574" spans="3:4">
      <c r="C574" s="1" t="str">
        <f t="shared" si="8"/>
        <v/>
      </c>
      <c r="D574" t="str">
        <f>IF(E574="","",TEXT(IF(COUNTIF(E$6:E574,E574)&gt;=1,MATCH(E574,$E$6:$E$1000,0),COUNTA(UNIQUE(E$6:E574))),"0000"))</f>
        <v/>
      </c>
    </row>
    <row r="575" spans="3:4">
      <c r="C575" s="1" t="str">
        <f t="shared" si="8"/>
        <v/>
      </c>
      <c r="D575" t="str">
        <f>IF(E575="","",TEXT(IF(COUNTIF(E$6:E575,E575)&gt;=1,MATCH(E575,$E$6:$E$1000,0),COUNTA(UNIQUE(E$6:E575))),"0000"))</f>
        <v/>
      </c>
    </row>
    <row r="576" spans="3:4">
      <c r="C576" s="1" t="str">
        <f t="shared" si="8"/>
        <v/>
      </c>
      <c r="D576" t="str">
        <f>IF(E576="","",TEXT(IF(COUNTIF(E$6:E576,E576)&gt;=1,MATCH(E576,$E$6:$E$1000,0),COUNTA(UNIQUE(E$6:E576))),"0000"))</f>
        <v/>
      </c>
    </row>
    <row r="577" spans="3:4">
      <c r="C577" s="1" t="str">
        <f t="shared" si="8"/>
        <v/>
      </c>
      <c r="D577" t="str">
        <f>IF(E577="","",TEXT(IF(COUNTIF(E$6:E577,E577)&gt;=1,MATCH(E577,$E$6:$E$1000,0),COUNTA(UNIQUE(E$6:E577))),"0000"))</f>
        <v/>
      </c>
    </row>
    <row r="578" spans="3:4">
      <c r="C578" s="1" t="str">
        <f t="shared" si="8"/>
        <v/>
      </c>
      <c r="D578" t="str">
        <f>IF(E578="","",TEXT(IF(COUNTIF(E$6:E578,E578)&gt;=1,MATCH(E578,$E$6:$E$1000,0),COUNTA(UNIQUE(E$6:E578))),"0000"))</f>
        <v/>
      </c>
    </row>
    <row r="579" spans="3:4">
      <c r="C579" s="1" t="str">
        <f t="shared" si="8"/>
        <v/>
      </c>
      <c r="D579" t="str">
        <f>IF(E579="","",TEXT(IF(COUNTIF(E$6:E579,E579)&gt;=1,MATCH(E579,$E$6:$E$1000,0),COUNTA(UNIQUE(E$6:E579))),"0000"))</f>
        <v/>
      </c>
    </row>
    <row r="580" spans="3:4">
      <c r="C580" s="1" t="str">
        <f t="shared" si="8"/>
        <v/>
      </c>
      <c r="D580" t="str">
        <f>IF(E580="","",TEXT(IF(COUNTIF(E$6:E580,E580)&gt;=1,MATCH(E580,$E$6:$E$1000,0),COUNTA(UNIQUE(E$6:E580))),"0000"))</f>
        <v/>
      </c>
    </row>
    <row r="581" spans="3:4">
      <c r="C581" s="1" t="str">
        <f t="shared" si="8"/>
        <v/>
      </c>
      <c r="D581" t="str">
        <f>IF(E581="","",TEXT(IF(COUNTIF(E$6:E581,E581)&gt;=1,MATCH(E581,$E$6:$E$1000,0),COUNTA(UNIQUE(E$6:E581))),"0000"))</f>
        <v/>
      </c>
    </row>
    <row r="582" spans="3:4">
      <c r="C582" s="1" t="str">
        <f t="shared" si="8"/>
        <v/>
      </c>
      <c r="D582" t="str">
        <f>IF(E582="","",TEXT(IF(COUNTIF(E$6:E582,E582)&gt;=1,MATCH(E582,$E$6:$E$1000,0),COUNTA(UNIQUE(E$6:E582))),"0000"))</f>
        <v/>
      </c>
    </row>
    <row r="583" spans="3:4">
      <c r="C583" s="1" t="str">
        <f t="shared" ref="C583:C646" si="9">IF(AND(D583="",E583=""),"",ROW(C578))</f>
        <v/>
      </c>
      <c r="D583" t="str">
        <f>IF(E583="","",TEXT(IF(COUNTIF(E$6:E583,E583)&gt;=1,MATCH(E583,$E$6:$E$1000,0),COUNTA(UNIQUE(E$6:E583))),"0000"))</f>
        <v/>
      </c>
    </row>
    <row r="584" spans="3:4">
      <c r="C584" s="1" t="str">
        <f t="shared" si="9"/>
        <v/>
      </c>
      <c r="D584" t="str">
        <f>IF(E584="","",TEXT(IF(COUNTIF(E$6:E584,E584)&gt;=1,MATCH(E584,$E$6:$E$1000,0),COUNTA(UNIQUE(E$6:E584))),"0000"))</f>
        <v/>
      </c>
    </row>
    <row r="585" spans="3:4">
      <c r="C585" s="1" t="str">
        <f t="shared" si="9"/>
        <v/>
      </c>
      <c r="D585" t="str">
        <f>IF(E585="","",TEXT(IF(COUNTIF(E$6:E585,E585)&gt;=1,MATCH(E585,$E$6:$E$1000,0),COUNTA(UNIQUE(E$6:E585))),"0000"))</f>
        <v/>
      </c>
    </row>
    <row r="586" spans="3:4">
      <c r="C586" s="1" t="str">
        <f t="shared" si="9"/>
        <v/>
      </c>
      <c r="D586" t="str">
        <f>IF(E586="","",TEXT(IF(COUNTIF(E$6:E586,E586)&gt;=1,MATCH(E586,$E$6:$E$1000,0),COUNTA(UNIQUE(E$6:E586))),"0000"))</f>
        <v/>
      </c>
    </row>
    <row r="587" spans="3:4">
      <c r="C587" s="1" t="str">
        <f t="shared" si="9"/>
        <v/>
      </c>
      <c r="D587" t="str">
        <f>IF(E587="","",TEXT(IF(COUNTIF(E$6:E587,E587)&gt;=1,MATCH(E587,$E$6:$E$1000,0),COUNTA(UNIQUE(E$6:E587))),"0000"))</f>
        <v/>
      </c>
    </row>
    <row r="588" spans="3:4">
      <c r="C588" s="1" t="str">
        <f t="shared" si="9"/>
        <v/>
      </c>
      <c r="D588" t="str">
        <f>IF(E588="","",TEXT(IF(COUNTIF(E$6:E588,E588)&gt;=1,MATCH(E588,$E$6:$E$1000,0),COUNTA(UNIQUE(E$6:E588))),"0000"))</f>
        <v/>
      </c>
    </row>
    <row r="589" spans="3:4">
      <c r="C589" s="1" t="str">
        <f t="shared" si="9"/>
        <v/>
      </c>
      <c r="D589" t="str">
        <f>IF(E589="","",TEXT(IF(COUNTIF(E$6:E589,E589)&gt;=1,MATCH(E589,$E$6:$E$1000,0),COUNTA(UNIQUE(E$6:E589))),"0000"))</f>
        <v/>
      </c>
    </row>
    <row r="590" spans="3:4">
      <c r="C590" s="1" t="str">
        <f t="shared" si="9"/>
        <v/>
      </c>
      <c r="D590" t="str">
        <f>IF(E590="","",TEXT(IF(COUNTIF(E$6:E590,E590)&gt;=1,MATCH(E590,$E$6:$E$1000,0),COUNTA(UNIQUE(E$6:E590))),"0000"))</f>
        <v/>
      </c>
    </row>
    <row r="591" spans="3:4">
      <c r="C591" s="1" t="str">
        <f t="shared" si="9"/>
        <v/>
      </c>
      <c r="D591" t="str">
        <f>IF(E591="","",TEXT(IF(COUNTIF(E$6:E591,E591)&gt;=1,MATCH(E591,$E$6:$E$1000,0),COUNTA(UNIQUE(E$6:E591))),"0000"))</f>
        <v/>
      </c>
    </row>
    <row r="592" spans="3:4">
      <c r="C592" s="1" t="str">
        <f t="shared" si="9"/>
        <v/>
      </c>
      <c r="D592" t="str">
        <f>IF(E592="","",TEXT(IF(COUNTIF(E$6:E592,E592)&gt;=1,MATCH(E592,$E$6:$E$1000,0),COUNTA(UNIQUE(E$6:E592))),"0000"))</f>
        <v/>
      </c>
    </row>
    <row r="593" spans="3:4">
      <c r="C593" s="1" t="str">
        <f t="shared" si="9"/>
        <v/>
      </c>
      <c r="D593" t="str">
        <f>IF(E593="","",TEXT(IF(COUNTIF(E$6:E593,E593)&gt;=1,MATCH(E593,$E$6:$E$1000,0),COUNTA(UNIQUE(E$6:E593))),"0000"))</f>
        <v/>
      </c>
    </row>
    <row r="594" spans="3:4">
      <c r="C594" s="1" t="str">
        <f t="shared" si="9"/>
        <v/>
      </c>
      <c r="D594" t="str">
        <f>IF(E594="","",TEXT(IF(COUNTIF(E$6:E594,E594)&gt;=1,MATCH(E594,$E$6:$E$1000,0),COUNTA(UNIQUE(E$6:E594))),"0000"))</f>
        <v/>
      </c>
    </row>
    <row r="595" spans="3:4">
      <c r="C595" s="1" t="str">
        <f t="shared" si="9"/>
        <v/>
      </c>
      <c r="D595" t="str">
        <f>IF(E595="","",TEXT(IF(COUNTIF(E$6:E595,E595)&gt;=1,MATCH(E595,$E$6:$E$1000,0),COUNTA(UNIQUE(E$6:E595))),"0000"))</f>
        <v/>
      </c>
    </row>
    <row r="596" spans="3:4">
      <c r="C596" s="1" t="str">
        <f t="shared" si="9"/>
        <v/>
      </c>
      <c r="D596" t="str">
        <f>IF(E596="","",TEXT(IF(COUNTIF(E$6:E596,E596)&gt;=1,MATCH(E596,$E$6:$E$1000,0),COUNTA(UNIQUE(E$6:E596))),"0000"))</f>
        <v/>
      </c>
    </row>
    <row r="597" spans="3:4">
      <c r="C597" s="1" t="str">
        <f t="shared" si="9"/>
        <v/>
      </c>
      <c r="D597" t="str">
        <f>IF(E597="","",TEXT(IF(COUNTIF(E$6:E597,E597)&gt;=1,MATCH(E597,$E$6:$E$1000,0),COUNTA(UNIQUE(E$6:E597))),"0000"))</f>
        <v/>
      </c>
    </row>
    <row r="598" spans="3:4">
      <c r="C598" s="1" t="str">
        <f t="shared" si="9"/>
        <v/>
      </c>
      <c r="D598" t="str">
        <f>IF(E598="","",TEXT(IF(COUNTIF(E$6:E598,E598)&gt;=1,MATCH(E598,$E$6:$E$1000,0),COUNTA(UNIQUE(E$6:E598))),"0000"))</f>
        <v/>
      </c>
    </row>
    <row r="599" spans="3:4">
      <c r="C599" s="1" t="str">
        <f t="shared" si="9"/>
        <v/>
      </c>
      <c r="D599" t="str">
        <f>IF(E599="","",TEXT(IF(COUNTIF(E$6:E599,E599)&gt;=1,MATCH(E599,$E$6:$E$1000,0),COUNTA(UNIQUE(E$6:E599))),"0000"))</f>
        <v/>
      </c>
    </row>
    <row r="600" spans="3:4">
      <c r="C600" s="1" t="str">
        <f t="shared" si="9"/>
        <v/>
      </c>
      <c r="D600" t="str">
        <f>IF(E600="","",TEXT(IF(COUNTIF(E$6:E600,E600)&gt;=1,MATCH(E600,$E$6:$E$1000,0),COUNTA(UNIQUE(E$6:E600))),"0000"))</f>
        <v/>
      </c>
    </row>
    <row r="601" spans="3:4">
      <c r="C601" s="1" t="str">
        <f t="shared" si="9"/>
        <v/>
      </c>
      <c r="D601" t="str">
        <f>IF(E601="","",TEXT(IF(COUNTIF(E$6:E601,E601)&gt;=1,MATCH(E601,$E$6:$E$1000,0),COUNTA(UNIQUE(E$6:E601))),"0000"))</f>
        <v/>
      </c>
    </row>
    <row r="602" spans="3:4">
      <c r="C602" s="1" t="str">
        <f t="shared" si="9"/>
        <v/>
      </c>
      <c r="D602" t="str">
        <f>IF(E602="","",TEXT(IF(COUNTIF(E$6:E602,E602)&gt;=1,MATCH(E602,$E$6:$E$1000,0),COUNTA(UNIQUE(E$6:E602))),"0000"))</f>
        <v/>
      </c>
    </row>
    <row r="603" spans="3:4">
      <c r="C603" s="1" t="str">
        <f t="shared" si="9"/>
        <v/>
      </c>
      <c r="D603" t="str">
        <f>IF(E603="","",TEXT(IF(COUNTIF(E$6:E603,E603)&gt;=1,MATCH(E603,$E$6:$E$1000,0),COUNTA(UNIQUE(E$6:E603))),"0000"))</f>
        <v/>
      </c>
    </row>
    <row r="604" spans="3:4">
      <c r="C604" s="1" t="str">
        <f t="shared" si="9"/>
        <v/>
      </c>
      <c r="D604" t="str">
        <f>IF(E604="","",TEXT(IF(COUNTIF(E$6:E604,E604)&gt;=1,MATCH(E604,$E$6:$E$1000,0),COUNTA(UNIQUE(E$6:E604))),"0000"))</f>
        <v/>
      </c>
    </row>
    <row r="605" spans="3:4">
      <c r="C605" s="1" t="str">
        <f t="shared" si="9"/>
        <v/>
      </c>
      <c r="D605" t="str">
        <f>IF(E605="","",TEXT(IF(COUNTIF(E$6:E605,E605)&gt;=1,MATCH(E605,$E$6:$E$1000,0),COUNTA(UNIQUE(E$6:E605))),"0000"))</f>
        <v/>
      </c>
    </row>
    <row r="606" spans="3:4">
      <c r="C606" s="1" t="str">
        <f t="shared" si="9"/>
        <v/>
      </c>
      <c r="D606" t="str">
        <f>IF(E606="","",TEXT(IF(COUNTIF(E$6:E606,E606)&gt;=1,MATCH(E606,$E$6:$E$1000,0),COUNTA(UNIQUE(E$6:E606))),"0000"))</f>
        <v/>
      </c>
    </row>
    <row r="607" spans="3:4">
      <c r="C607" s="1" t="str">
        <f t="shared" si="9"/>
        <v/>
      </c>
      <c r="D607" t="str">
        <f>IF(E607="","",TEXT(IF(COUNTIF(E$6:E607,E607)&gt;=1,MATCH(E607,$E$6:$E$1000,0),COUNTA(UNIQUE(E$6:E607))),"0000"))</f>
        <v/>
      </c>
    </row>
    <row r="608" spans="3:4">
      <c r="C608" s="1" t="str">
        <f t="shared" si="9"/>
        <v/>
      </c>
      <c r="D608" t="str">
        <f>IF(E608="","",TEXT(IF(COUNTIF(E$6:E608,E608)&gt;=1,MATCH(E608,$E$6:$E$1000,0),COUNTA(UNIQUE(E$6:E608))),"0000"))</f>
        <v/>
      </c>
    </row>
    <row r="609" spans="3:4">
      <c r="C609" s="1" t="str">
        <f t="shared" si="9"/>
        <v/>
      </c>
      <c r="D609" t="str">
        <f>IF(E609="","",TEXT(IF(COUNTIF(E$6:E609,E609)&gt;=1,MATCH(E609,$E$6:$E$1000,0),COUNTA(UNIQUE(E$6:E609))),"0000"))</f>
        <v/>
      </c>
    </row>
    <row r="610" spans="3:4">
      <c r="C610" s="1" t="str">
        <f t="shared" si="9"/>
        <v/>
      </c>
      <c r="D610" t="str">
        <f>IF(E610="","",TEXT(IF(COUNTIF(E$6:E610,E610)&gt;=1,MATCH(E610,$E$6:$E$1000,0),COUNTA(UNIQUE(E$6:E610))),"0000"))</f>
        <v/>
      </c>
    </row>
    <row r="611" spans="3:4">
      <c r="C611" s="1" t="str">
        <f t="shared" si="9"/>
        <v/>
      </c>
      <c r="D611" t="str">
        <f>IF(E611="","",TEXT(IF(COUNTIF(E$6:E611,E611)&gt;=1,MATCH(E611,$E$6:$E$1000,0),COUNTA(UNIQUE(E$6:E611))),"0000"))</f>
        <v/>
      </c>
    </row>
    <row r="612" spans="3:4">
      <c r="C612" s="1" t="str">
        <f t="shared" si="9"/>
        <v/>
      </c>
      <c r="D612" t="str">
        <f>IF(E612="","",TEXT(IF(COUNTIF(E$6:E612,E612)&gt;=1,MATCH(E612,$E$6:$E$1000,0),COUNTA(UNIQUE(E$6:E612))),"0000"))</f>
        <v/>
      </c>
    </row>
    <row r="613" spans="3:4">
      <c r="C613" s="1" t="str">
        <f t="shared" si="9"/>
        <v/>
      </c>
      <c r="D613" t="str">
        <f>IF(E613="","",TEXT(IF(COUNTIF(E$6:E613,E613)&gt;=1,MATCH(E613,$E$6:$E$1000,0),COUNTA(UNIQUE(E$6:E613))),"0000"))</f>
        <v/>
      </c>
    </row>
    <row r="614" spans="3:4">
      <c r="C614" s="1" t="str">
        <f t="shared" si="9"/>
        <v/>
      </c>
      <c r="D614" t="str">
        <f>IF(E614="","",TEXT(IF(COUNTIF(E$6:E614,E614)&gt;=1,MATCH(E614,$E$6:$E$1000,0),COUNTA(UNIQUE(E$6:E614))),"0000"))</f>
        <v/>
      </c>
    </row>
    <row r="615" spans="3:4">
      <c r="C615" s="1" t="str">
        <f t="shared" si="9"/>
        <v/>
      </c>
      <c r="D615" t="str">
        <f>IF(E615="","",TEXT(IF(COUNTIF(E$6:E615,E615)&gt;=1,MATCH(E615,$E$6:$E$1000,0),COUNTA(UNIQUE(E$6:E615))),"0000"))</f>
        <v/>
      </c>
    </row>
    <row r="616" spans="3:4">
      <c r="C616" s="1" t="str">
        <f t="shared" si="9"/>
        <v/>
      </c>
      <c r="D616" t="str">
        <f>IF(E616="","",TEXT(IF(COUNTIF(E$6:E616,E616)&gt;=1,MATCH(E616,$E$6:$E$1000,0),COUNTA(UNIQUE(E$6:E616))),"0000"))</f>
        <v/>
      </c>
    </row>
    <row r="617" spans="3:4">
      <c r="C617" s="1" t="str">
        <f t="shared" si="9"/>
        <v/>
      </c>
      <c r="D617" t="str">
        <f>IF(E617="","",TEXT(IF(COUNTIF(E$6:E617,E617)&gt;=1,MATCH(E617,$E$6:$E$1000,0),COUNTA(UNIQUE(E$6:E617))),"0000"))</f>
        <v/>
      </c>
    </row>
    <row r="618" spans="3:4">
      <c r="C618" s="1" t="str">
        <f t="shared" si="9"/>
        <v/>
      </c>
      <c r="D618" t="str">
        <f>IF(E618="","",TEXT(IF(COUNTIF(E$6:E618,E618)&gt;=1,MATCH(E618,$E$6:$E$1000,0),COUNTA(UNIQUE(E$6:E618))),"0000"))</f>
        <v/>
      </c>
    </row>
    <row r="619" spans="3:4">
      <c r="C619" s="1" t="str">
        <f t="shared" si="9"/>
        <v/>
      </c>
      <c r="D619" t="str">
        <f>IF(E619="","",TEXT(IF(COUNTIF(E$6:E619,E619)&gt;=1,MATCH(E619,$E$6:$E$1000,0),COUNTA(UNIQUE(E$6:E619))),"0000"))</f>
        <v/>
      </c>
    </row>
    <row r="620" spans="3:4">
      <c r="C620" s="1" t="str">
        <f t="shared" si="9"/>
        <v/>
      </c>
      <c r="D620" t="str">
        <f>IF(E620="","",TEXT(IF(COUNTIF(E$6:E620,E620)&gt;=1,MATCH(E620,$E$6:$E$1000,0),COUNTA(UNIQUE(E$6:E620))),"0000"))</f>
        <v/>
      </c>
    </row>
    <row r="621" spans="3:4">
      <c r="C621" s="1" t="str">
        <f t="shared" si="9"/>
        <v/>
      </c>
      <c r="D621" t="str">
        <f>IF(E621="","",TEXT(IF(COUNTIF(E$6:E621,E621)&gt;=1,MATCH(E621,$E$6:$E$1000,0),COUNTA(UNIQUE(E$6:E621))),"0000"))</f>
        <v/>
      </c>
    </row>
    <row r="622" spans="3:4">
      <c r="C622" s="1" t="str">
        <f t="shared" si="9"/>
        <v/>
      </c>
      <c r="D622" t="str">
        <f>IF(E622="","",TEXT(IF(COUNTIF(E$6:E622,E622)&gt;=1,MATCH(E622,$E$6:$E$1000,0),COUNTA(UNIQUE(E$6:E622))),"0000"))</f>
        <v/>
      </c>
    </row>
    <row r="623" spans="3:4">
      <c r="C623" s="1" t="str">
        <f t="shared" si="9"/>
        <v/>
      </c>
      <c r="D623" t="str">
        <f>IF(E623="","",TEXT(IF(COUNTIF(E$6:E623,E623)&gt;=1,MATCH(E623,$E$6:$E$1000,0),COUNTA(UNIQUE(E$6:E623))),"0000"))</f>
        <v/>
      </c>
    </row>
    <row r="624" spans="3:4">
      <c r="C624" s="1" t="str">
        <f t="shared" si="9"/>
        <v/>
      </c>
      <c r="D624" t="str">
        <f>IF(E624="","",TEXT(IF(COUNTIF(E$6:E624,E624)&gt;=1,MATCH(E624,$E$6:$E$1000,0),COUNTA(UNIQUE(E$6:E624))),"0000"))</f>
        <v/>
      </c>
    </row>
    <row r="625" spans="3:4">
      <c r="C625" s="1" t="str">
        <f t="shared" si="9"/>
        <v/>
      </c>
      <c r="D625" t="str">
        <f>IF(E625="","",TEXT(IF(COUNTIF(E$6:E625,E625)&gt;=1,MATCH(E625,$E$6:$E$1000,0),COUNTA(UNIQUE(E$6:E625))),"0000"))</f>
        <v/>
      </c>
    </row>
    <row r="626" spans="3:4">
      <c r="C626" s="1" t="str">
        <f t="shared" si="9"/>
        <v/>
      </c>
      <c r="D626" t="str">
        <f>IF(E626="","",TEXT(IF(COUNTIF(E$6:E626,E626)&gt;=1,MATCH(E626,$E$6:$E$1000,0),COUNTA(UNIQUE(E$6:E626))),"0000"))</f>
        <v/>
      </c>
    </row>
    <row r="627" spans="3:4">
      <c r="C627" s="1" t="str">
        <f t="shared" si="9"/>
        <v/>
      </c>
      <c r="D627" t="str">
        <f>IF(E627="","",TEXT(IF(COUNTIF(E$6:E627,E627)&gt;=1,MATCH(E627,$E$6:$E$1000,0),COUNTA(UNIQUE(E$6:E627))),"0000"))</f>
        <v/>
      </c>
    </row>
    <row r="628" spans="3:4">
      <c r="C628" s="1" t="str">
        <f t="shared" si="9"/>
        <v/>
      </c>
      <c r="D628" t="str">
        <f>IF(E628="","",TEXT(IF(COUNTIF(E$6:E628,E628)&gt;=1,MATCH(E628,$E$6:$E$1000,0),COUNTA(UNIQUE(E$6:E628))),"0000"))</f>
        <v/>
      </c>
    </row>
    <row r="629" spans="3:4">
      <c r="C629" s="1" t="str">
        <f t="shared" si="9"/>
        <v/>
      </c>
      <c r="D629" t="str">
        <f>IF(E629="","",TEXT(IF(COUNTIF(E$6:E629,E629)&gt;=1,MATCH(E629,$E$6:$E$1000,0),COUNTA(UNIQUE(E$6:E629))),"0000"))</f>
        <v/>
      </c>
    </row>
    <row r="630" spans="3:4">
      <c r="C630" s="1" t="str">
        <f t="shared" si="9"/>
        <v/>
      </c>
      <c r="D630" t="str">
        <f>IF(E630="","",TEXT(IF(COUNTIF(E$6:E630,E630)&gt;=1,MATCH(E630,$E$6:$E$1000,0),COUNTA(UNIQUE(E$6:E630))),"0000"))</f>
        <v/>
      </c>
    </row>
    <row r="631" spans="3:4">
      <c r="C631" s="1" t="str">
        <f t="shared" si="9"/>
        <v/>
      </c>
      <c r="D631" t="str">
        <f>IF(E631="","",TEXT(IF(COUNTIF(E$6:E631,E631)&gt;=1,MATCH(E631,$E$6:$E$1000,0),COUNTA(UNIQUE(E$6:E631))),"0000"))</f>
        <v/>
      </c>
    </row>
    <row r="632" spans="3:4">
      <c r="C632" s="1" t="str">
        <f t="shared" si="9"/>
        <v/>
      </c>
      <c r="D632" t="str">
        <f>IF(E632="","",TEXT(IF(COUNTIF(E$6:E632,E632)&gt;=1,MATCH(E632,$E$6:$E$1000,0),COUNTA(UNIQUE(E$6:E632))),"0000"))</f>
        <v/>
      </c>
    </row>
    <row r="633" spans="3:4">
      <c r="C633" s="1" t="str">
        <f t="shared" si="9"/>
        <v/>
      </c>
      <c r="D633" t="str">
        <f>IF(E633="","",TEXT(IF(COUNTIF(E$6:E633,E633)&gt;=1,MATCH(E633,$E$6:$E$1000,0),COUNTA(UNIQUE(E$6:E633))),"0000"))</f>
        <v/>
      </c>
    </row>
    <row r="634" spans="3:4">
      <c r="C634" s="1" t="str">
        <f t="shared" si="9"/>
        <v/>
      </c>
      <c r="D634" t="str">
        <f>IF(E634="","",TEXT(IF(COUNTIF(E$6:E634,E634)&gt;=1,MATCH(E634,$E$6:$E$1000,0),COUNTA(UNIQUE(E$6:E634))),"0000"))</f>
        <v/>
      </c>
    </row>
    <row r="635" spans="3:4">
      <c r="C635" s="1" t="str">
        <f t="shared" si="9"/>
        <v/>
      </c>
      <c r="D635" t="str">
        <f>IF(E635="","",TEXT(IF(COUNTIF(E$6:E635,E635)&gt;=1,MATCH(E635,$E$6:$E$1000,0),COUNTA(UNIQUE(E$6:E635))),"0000"))</f>
        <v/>
      </c>
    </row>
    <row r="636" spans="3:4">
      <c r="C636" s="1" t="str">
        <f t="shared" si="9"/>
        <v/>
      </c>
      <c r="D636" t="str">
        <f>IF(E636="","",TEXT(IF(COUNTIF(E$6:E636,E636)&gt;=1,MATCH(E636,$E$6:$E$1000,0),COUNTA(UNIQUE(E$6:E636))),"0000"))</f>
        <v/>
      </c>
    </row>
    <row r="637" spans="3:4">
      <c r="C637" s="1" t="str">
        <f t="shared" si="9"/>
        <v/>
      </c>
      <c r="D637" t="str">
        <f>IF(E637="","",TEXT(IF(COUNTIF(E$6:E637,E637)&gt;=1,MATCH(E637,$E$6:$E$1000,0),COUNTA(UNIQUE(E$6:E637))),"0000"))</f>
        <v/>
      </c>
    </row>
    <row r="638" spans="3:4">
      <c r="C638" s="1" t="str">
        <f t="shared" si="9"/>
        <v/>
      </c>
      <c r="D638" t="str">
        <f>IF(E638="","",TEXT(IF(COUNTIF(E$6:E638,E638)&gt;=1,MATCH(E638,$E$6:$E$1000,0),COUNTA(UNIQUE(E$6:E638))),"0000"))</f>
        <v/>
      </c>
    </row>
    <row r="639" spans="3:4">
      <c r="C639" s="1" t="str">
        <f t="shared" si="9"/>
        <v/>
      </c>
      <c r="D639" t="str">
        <f>IF(E639="","",TEXT(IF(COUNTIF(E$6:E639,E639)&gt;=1,MATCH(E639,$E$6:$E$1000,0),COUNTA(UNIQUE(E$6:E639))),"0000"))</f>
        <v/>
      </c>
    </row>
    <row r="640" spans="3:4">
      <c r="C640" s="1" t="str">
        <f t="shared" si="9"/>
        <v/>
      </c>
      <c r="D640" t="str">
        <f>IF(E640="","",TEXT(IF(COUNTIF(E$6:E640,E640)&gt;=1,MATCH(E640,$E$6:$E$1000,0),COUNTA(UNIQUE(E$6:E640))),"0000"))</f>
        <v/>
      </c>
    </row>
    <row r="641" spans="3:4">
      <c r="C641" s="1" t="str">
        <f t="shared" si="9"/>
        <v/>
      </c>
      <c r="D641" t="str">
        <f>IF(E641="","",TEXT(IF(COUNTIF(E$6:E641,E641)&gt;=1,MATCH(E641,$E$6:$E$1000,0),COUNTA(UNIQUE(E$6:E641))),"0000"))</f>
        <v/>
      </c>
    </row>
    <row r="642" spans="3:4">
      <c r="C642" s="1" t="str">
        <f t="shared" si="9"/>
        <v/>
      </c>
      <c r="D642" t="str">
        <f>IF(E642="","",TEXT(IF(COUNTIF(E$6:E642,E642)&gt;=1,MATCH(E642,$E$6:$E$1000,0),COUNTA(UNIQUE(E$6:E642))),"0000"))</f>
        <v/>
      </c>
    </row>
    <row r="643" spans="3:4">
      <c r="C643" s="1" t="str">
        <f t="shared" si="9"/>
        <v/>
      </c>
      <c r="D643" t="str">
        <f>IF(E643="","",TEXT(IF(COUNTIF(E$6:E643,E643)&gt;=1,MATCH(E643,$E$6:$E$1000,0),COUNTA(UNIQUE(E$6:E643))),"0000"))</f>
        <v/>
      </c>
    </row>
    <row r="644" spans="3:4">
      <c r="C644" s="1" t="str">
        <f t="shared" si="9"/>
        <v/>
      </c>
      <c r="D644" t="str">
        <f>IF(E644="","",TEXT(IF(COUNTIF(E$6:E644,E644)&gt;=1,MATCH(E644,$E$6:$E$1000,0),COUNTA(UNIQUE(E$6:E644))),"0000"))</f>
        <v/>
      </c>
    </row>
    <row r="645" spans="3:4">
      <c r="C645" s="1" t="str">
        <f t="shared" si="9"/>
        <v/>
      </c>
      <c r="D645" t="str">
        <f>IF(E645="","",TEXT(IF(COUNTIF(E$6:E645,E645)&gt;=1,MATCH(E645,$E$6:$E$1000,0),COUNTA(UNIQUE(E$6:E645))),"0000"))</f>
        <v/>
      </c>
    </row>
    <row r="646" spans="3:4">
      <c r="C646" s="1" t="str">
        <f t="shared" si="9"/>
        <v/>
      </c>
      <c r="D646" t="str">
        <f>IF(E646="","",TEXT(IF(COUNTIF(E$6:E646,E646)&gt;=1,MATCH(E646,$E$6:$E$1000,0),COUNTA(UNIQUE(E$6:E646))),"0000"))</f>
        <v/>
      </c>
    </row>
    <row r="647" spans="3:4">
      <c r="C647" s="1" t="str">
        <f t="shared" ref="C647:C710" si="10">IF(AND(D647="",E647=""),"",ROW(C642))</f>
        <v/>
      </c>
      <c r="D647" t="str">
        <f>IF(E647="","",TEXT(IF(COUNTIF(E$6:E647,E647)&gt;=1,MATCH(E647,$E$6:$E$1000,0),COUNTA(UNIQUE(E$6:E647))),"0000"))</f>
        <v/>
      </c>
    </row>
    <row r="648" spans="3:4">
      <c r="C648" s="1" t="str">
        <f t="shared" si="10"/>
        <v/>
      </c>
      <c r="D648" t="str">
        <f>IF(E648="","",TEXT(IF(COUNTIF(E$6:E648,E648)&gt;=1,MATCH(E648,$E$6:$E$1000,0),COUNTA(UNIQUE(E$6:E648))),"0000"))</f>
        <v/>
      </c>
    </row>
    <row r="649" spans="3:4">
      <c r="C649" s="1" t="str">
        <f t="shared" si="10"/>
        <v/>
      </c>
      <c r="D649" t="str">
        <f>IF(E649="","",TEXT(IF(COUNTIF(E$6:E649,E649)&gt;=1,MATCH(E649,$E$6:$E$1000,0),COUNTA(UNIQUE(E$6:E649))),"0000"))</f>
        <v/>
      </c>
    </row>
    <row r="650" spans="3:4">
      <c r="C650" s="1" t="str">
        <f t="shared" si="10"/>
        <v/>
      </c>
      <c r="D650" t="str">
        <f>IF(E650="","",TEXT(IF(COUNTIF(E$6:E650,E650)&gt;=1,MATCH(E650,$E$6:$E$1000,0),COUNTA(UNIQUE(E$6:E650))),"0000"))</f>
        <v/>
      </c>
    </row>
    <row r="651" spans="3:4">
      <c r="C651" s="1" t="str">
        <f t="shared" si="10"/>
        <v/>
      </c>
      <c r="D651" t="str">
        <f>IF(E651="","",TEXT(IF(COUNTIF(E$6:E651,E651)&gt;=1,MATCH(E651,$E$6:$E$1000,0),COUNTA(UNIQUE(E$6:E651))),"0000"))</f>
        <v/>
      </c>
    </row>
    <row r="652" spans="3:4">
      <c r="C652" s="1" t="str">
        <f t="shared" si="10"/>
        <v/>
      </c>
      <c r="D652" t="str">
        <f>IF(E652="","",TEXT(IF(COUNTIF(E$6:E652,E652)&gt;=1,MATCH(E652,$E$6:$E$1000,0),COUNTA(UNIQUE(E$6:E652))),"0000"))</f>
        <v/>
      </c>
    </row>
    <row r="653" spans="3:4">
      <c r="C653" s="1" t="str">
        <f t="shared" si="10"/>
        <v/>
      </c>
      <c r="D653" t="str">
        <f>IF(E653="","",TEXT(IF(COUNTIF(E$6:E653,E653)&gt;=1,MATCH(E653,$E$6:$E$1000,0),COUNTA(UNIQUE(E$6:E653))),"0000"))</f>
        <v/>
      </c>
    </row>
    <row r="654" spans="3:4">
      <c r="C654" s="1" t="str">
        <f t="shared" si="10"/>
        <v/>
      </c>
      <c r="D654" t="str">
        <f>IF(E654="","",TEXT(IF(COUNTIF(E$6:E654,E654)&gt;=1,MATCH(E654,$E$6:$E$1000,0),COUNTA(UNIQUE(E$6:E654))),"0000"))</f>
        <v/>
      </c>
    </row>
    <row r="655" spans="3:4">
      <c r="C655" s="1" t="str">
        <f t="shared" si="10"/>
        <v/>
      </c>
      <c r="D655" t="str">
        <f>IF(E655="","",TEXT(IF(COUNTIF(E$6:E655,E655)&gt;=1,MATCH(E655,$E$6:$E$1000,0),COUNTA(UNIQUE(E$6:E655))),"0000"))</f>
        <v/>
      </c>
    </row>
    <row r="656" spans="3:4">
      <c r="C656" s="1" t="str">
        <f t="shared" si="10"/>
        <v/>
      </c>
      <c r="D656" t="str">
        <f>IF(E656="","",TEXT(IF(COUNTIF(E$6:E656,E656)&gt;=1,MATCH(E656,$E$6:$E$1000,0),COUNTA(UNIQUE(E$6:E656))),"0000"))</f>
        <v/>
      </c>
    </row>
    <row r="657" spans="3:4">
      <c r="C657" s="1" t="str">
        <f t="shared" si="10"/>
        <v/>
      </c>
      <c r="D657" t="str">
        <f>IF(E657="","",TEXT(IF(COUNTIF(E$6:E657,E657)&gt;=1,MATCH(E657,$E$6:$E$1000,0),COUNTA(UNIQUE(E$6:E657))),"0000"))</f>
        <v/>
      </c>
    </row>
    <row r="658" spans="3:4">
      <c r="C658" s="1" t="str">
        <f t="shared" si="10"/>
        <v/>
      </c>
      <c r="D658" t="str">
        <f>IF(E658="","",TEXT(IF(COUNTIF(E$6:E658,E658)&gt;=1,MATCH(E658,$E$6:$E$1000,0),COUNTA(UNIQUE(E$6:E658))),"0000"))</f>
        <v/>
      </c>
    </row>
    <row r="659" spans="3:4">
      <c r="C659" s="1" t="str">
        <f t="shared" si="10"/>
        <v/>
      </c>
      <c r="D659" t="str">
        <f>IF(E659="","",TEXT(IF(COUNTIF(E$6:E659,E659)&gt;=1,MATCH(E659,$E$6:$E$1000,0),COUNTA(UNIQUE(E$6:E659))),"0000"))</f>
        <v/>
      </c>
    </row>
    <row r="660" spans="3:4">
      <c r="C660" s="1" t="str">
        <f t="shared" si="10"/>
        <v/>
      </c>
      <c r="D660" t="str">
        <f>IF(E660="","",TEXT(IF(COUNTIF(E$6:E660,E660)&gt;=1,MATCH(E660,$E$6:$E$1000,0),COUNTA(UNIQUE(E$6:E660))),"0000"))</f>
        <v/>
      </c>
    </row>
    <row r="661" spans="3:4">
      <c r="C661" s="1" t="str">
        <f t="shared" si="10"/>
        <v/>
      </c>
      <c r="D661" t="str">
        <f>IF(E661="","",TEXT(IF(COUNTIF(E$6:E661,E661)&gt;=1,MATCH(E661,$E$6:$E$1000,0),COUNTA(UNIQUE(E$6:E661))),"0000"))</f>
        <v/>
      </c>
    </row>
    <row r="662" spans="3:4">
      <c r="C662" s="1" t="str">
        <f t="shared" si="10"/>
        <v/>
      </c>
      <c r="D662" t="str">
        <f>IF(E662="","",TEXT(IF(COUNTIF(E$6:E662,E662)&gt;=1,MATCH(E662,$E$6:$E$1000,0),COUNTA(UNIQUE(E$6:E662))),"0000"))</f>
        <v/>
      </c>
    </row>
    <row r="663" spans="3:4">
      <c r="C663" s="1" t="str">
        <f t="shared" si="10"/>
        <v/>
      </c>
      <c r="D663" t="str">
        <f>IF(E663="","",TEXT(IF(COUNTIF(E$6:E663,E663)&gt;=1,MATCH(E663,$E$6:$E$1000,0),COUNTA(UNIQUE(E$6:E663))),"0000"))</f>
        <v/>
      </c>
    </row>
    <row r="664" spans="3:4">
      <c r="C664" s="1" t="str">
        <f t="shared" si="10"/>
        <v/>
      </c>
      <c r="D664" t="str">
        <f>IF(E664="","",TEXT(IF(COUNTIF(E$6:E664,E664)&gt;=1,MATCH(E664,$E$6:$E$1000,0),COUNTA(UNIQUE(E$6:E664))),"0000"))</f>
        <v/>
      </c>
    </row>
    <row r="665" spans="3:4">
      <c r="C665" s="1" t="str">
        <f t="shared" si="10"/>
        <v/>
      </c>
      <c r="D665" t="str">
        <f>IF(E665="","",TEXT(IF(COUNTIF(E$6:E665,E665)&gt;=1,MATCH(E665,$E$6:$E$1000,0),COUNTA(UNIQUE(E$6:E665))),"0000"))</f>
        <v/>
      </c>
    </row>
    <row r="666" spans="3:4">
      <c r="C666" s="1" t="str">
        <f t="shared" si="10"/>
        <v/>
      </c>
      <c r="D666" t="str">
        <f>IF(E666="","",TEXT(IF(COUNTIF(E$6:E666,E666)&gt;=1,MATCH(E666,$E$6:$E$1000,0),COUNTA(UNIQUE(E$6:E666))),"0000"))</f>
        <v/>
      </c>
    </row>
    <row r="667" spans="3:4">
      <c r="C667" s="1" t="str">
        <f t="shared" si="10"/>
        <v/>
      </c>
      <c r="D667" t="str">
        <f>IF(E667="","",TEXT(IF(COUNTIF(E$6:E667,E667)&gt;=1,MATCH(E667,$E$6:$E$1000,0),COUNTA(UNIQUE(E$6:E667))),"0000"))</f>
        <v/>
      </c>
    </row>
    <row r="668" spans="3:4">
      <c r="C668" s="1" t="str">
        <f t="shared" si="10"/>
        <v/>
      </c>
      <c r="D668" t="str">
        <f>IF(E668="","",TEXT(IF(COUNTIF(E$6:E668,E668)&gt;=1,MATCH(E668,$E$6:$E$1000,0),COUNTA(UNIQUE(E$6:E668))),"0000"))</f>
        <v/>
      </c>
    </row>
    <row r="669" spans="3:4">
      <c r="C669" s="1" t="str">
        <f t="shared" si="10"/>
        <v/>
      </c>
      <c r="D669" t="str">
        <f>IF(E669="","",TEXT(IF(COUNTIF(E$6:E669,E669)&gt;=1,MATCH(E669,$E$6:$E$1000,0),COUNTA(UNIQUE(E$6:E669))),"0000"))</f>
        <v/>
      </c>
    </row>
    <row r="670" spans="3:4">
      <c r="C670" s="1" t="str">
        <f t="shared" si="10"/>
        <v/>
      </c>
      <c r="D670" t="str">
        <f>IF(E670="","",TEXT(IF(COUNTIF(E$6:E670,E670)&gt;=1,MATCH(E670,$E$6:$E$1000,0),COUNTA(UNIQUE(E$6:E670))),"0000"))</f>
        <v/>
      </c>
    </row>
    <row r="671" spans="3:4">
      <c r="C671" s="1" t="str">
        <f t="shared" si="10"/>
        <v/>
      </c>
      <c r="D671" t="str">
        <f>IF(E671="","",TEXT(IF(COUNTIF(E$6:E671,E671)&gt;=1,MATCH(E671,$E$6:$E$1000,0),COUNTA(UNIQUE(E$6:E671))),"0000"))</f>
        <v/>
      </c>
    </row>
    <row r="672" spans="3:4">
      <c r="C672" s="1" t="str">
        <f t="shared" si="10"/>
        <v/>
      </c>
    </row>
    <row r="673" spans="3:3">
      <c r="C673" s="1" t="str">
        <f t="shared" si="10"/>
        <v/>
      </c>
    </row>
    <row r="674" spans="3:3">
      <c r="C674" s="1" t="str">
        <f t="shared" si="10"/>
        <v/>
      </c>
    </row>
    <row r="675" spans="3:3">
      <c r="C675" s="1" t="str">
        <f t="shared" si="10"/>
        <v/>
      </c>
    </row>
    <row r="676" spans="3:3">
      <c r="C676" s="1" t="str">
        <f t="shared" si="10"/>
        <v/>
      </c>
    </row>
    <row r="677" spans="3:3">
      <c r="C677" s="1" t="str">
        <f t="shared" si="10"/>
        <v/>
      </c>
    </row>
    <row r="678" spans="3:3">
      <c r="C678" s="1" t="str">
        <f t="shared" si="10"/>
        <v/>
      </c>
    </row>
    <row r="679" spans="3:3">
      <c r="C679" s="1" t="str">
        <f t="shared" si="10"/>
        <v/>
      </c>
    </row>
    <row r="680" spans="3:3">
      <c r="C680" s="1" t="str">
        <f t="shared" si="10"/>
        <v/>
      </c>
    </row>
    <row r="681" spans="3:3">
      <c r="C681" s="1" t="str">
        <f t="shared" si="10"/>
        <v/>
      </c>
    </row>
    <row r="682" spans="3:3">
      <c r="C682" s="1" t="str">
        <f t="shared" si="10"/>
        <v/>
      </c>
    </row>
    <row r="683" spans="3:3">
      <c r="C683" s="1" t="str">
        <f t="shared" si="10"/>
        <v/>
      </c>
    </row>
    <row r="684" spans="3:3">
      <c r="C684" s="1" t="str">
        <f t="shared" si="10"/>
        <v/>
      </c>
    </row>
    <row r="685" spans="3:3">
      <c r="C685" s="1" t="str">
        <f t="shared" si="10"/>
        <v/>
      </c>
    </row>
    <row r="686" spans="3:3">
      <c r="C686" s="1" t="str">
        <f t="shared" si="10"/>
        <v/>
      </c>
    </row>
    <row r="687" spans="3:3">
      <c r="C687" s="1" t="str">
        <f t="shared" si="10"/>
        <v/>
      </c>
    </row>
    <row r="688" spans="3:3">
      <c r="C688" s="1" t="str">
        <f t="shared" si="10"/>
        <v/>
      </c>
    </row>
    <row r="689" spans="3:3">
      <c r="C689" s="1" t="str">
        <f t="shared" si="10"/>
        <v/>
      </c>
    </row>
    <row r="690" spans="3:3">
      <c r="C690" s="1" t="str">
        <f t="shared" si="10"/>
        <v/>
      </c>
    </row>
    <row r="691" spans="3:3">
      <c r="C691" s="1" t="str">
        <f t="shared" si="10"/>
        <v/>
      </c>
    </row>
    <row r="692" spans="3:3">
      <c r="C692" s="1" t="str">
        <f t="shared" si="10"/>
        <v/>
      </c>
    </row>
    <row r="693" spans="3:3">
      <c r="C693" s="1" t="str">
        <f t="shared" si="10"/>
        <v/>
      </c>
    </row>
    <row r="694" spans="3:3">
      <c r="C694" s="1" t="str">
        <f t="shared" si="10"/>
        <v/>
      </c>
    </row>
    <row r="695" spans="3:3">
      <c r="C695" s="1" t="str">
        <f t="shared" si="10"/>
        <v/>
      </c>
    </row>
    <row r="696" spans="3:3">
      <c r="C696" s="1" t="str">
        <f t="shared" si="10"/>
        <v/>
      </c>
    </row>
    <row r="697" spans="3:3">
      <c r="C697" s="1" t="str">
        <f t="shared" si="10"/>
        <v/>
      </c>
    </row>
    <row r="698" spans="3:3">
      <c r="C698" s="1" t="str">
        <f t="shared" si="10"/>
        <v/>
      </c>
    </row>
    <row r="699" spans="3:3">
      <c r="C699" s="1" t="str">
        <f t="shared" si="10"/>
        <v/>
      </c>
    </row>
    <row r="700" spans="3:3">
      <c r="C700" s="1" t="str">
        <f t="shared" si="10"/>
        <v/>
      </c>
    </row>
    <row r="701" spans="3:3">
      <c r="C701" s="1" t="str">
        <f t="shared" si="10"/>
        <v/>
      </c>
    </row>
    <row r="702" spans="3:3">
      <c r="C702" s="1" t="str">
        <f t="shared" si="10"/>
        <v/>
      </c>
    </row>
    <row r="703" spans="3:3">
      <c r="C703" s="1" t="str">
        <f t="shared" si="10"/>
        <v/>
      </c>
    </row>
    <row r="704" spans="3:3">
      <c r="C704" s="1" t="str">
        <f t="shared" si="10"/>
        <v/>
      </c>
    </row>
    <row r="705" spans="3:3">
      <c r="C705" s="1" t="str">
        <f t="shared" si="10"/>
        <v/>
      </c>
    </row>
    <row r="706" spans="3:3">
      <c r="C706" s="1" t="str">
        <f t="shared" si="10"/>
        <v/>
      </c>
    </row>
    <row r="707" spans="3:3">
      <c r="C707" s="1" t="str">
        <f t="shared" si="10"/>
        <v/>
      </c>
    </row>
    <row r="708" spans="3:3">
      <c r="C708" s="1" t="str">
        <f t="shared" si="10"/>
        <v/>
      </c>
    </row>
    <row r="709" spans="3:3">
      <c r="C709" s="1" t="str">
        <f t="shared" si="10"/>
        <v/>
      </c>
    </row>
    <row r="710" spans="3:3">
      <c r="C710" s="1" t="str">
        <f t="shared" si="10"/>
        <v/>
      </c>
    </row>
    <row r="711" spans="3:3">
      <c r="C711" s="1" t="str">
        <f t="shared" ref="C711:C774" si="11">IF(AND(D711="",E711=""),"",ROW(C706))</f>
        <v/>
      </c>
    </row>
    <row r="712" spans="3:3">
      <c r="C712" s="1" t="str">
        <f t="shared" si="11"/>
        <v/>
      </c>
    </row>
    <row r="713" spans="3:3">
      <c r="C713" s="1" t="str">
        <f t="shared" si="11"/>
        <v/>
      </c>
    </row>
    <row r="714" spans="3:3">
      <c r="C714" s="1" t="str">
        <f t="shared" si="11"/>
        <v/>
      </c>
    </row>
    <row r="715" spans="3:3">
      <c r="C715" s="1" t="str">
        <f t="shared" si="11"/>
        <v/>
      </c>
    </row>
    <row r="716" spans="3:3">
      <c r="C716" s="1" t="str">
        <f t="shared" si="11"/>
        <v/>
      </c>
    </row>
    <row r="717" spans="3:3">
      <c r="C717" s="1" t="str">
        <f t="shared" si="11"/>
        <v/>
      </c>
    </row>
    <row r="718" spans="3:3">
      <c r="C718" s="1" t="str">
        <f t="shared" si="11"/>
        <v/>
      </c>
    </row>
    <row r="719" spans="3:3">
      <c r="C719" s="1" t="str">
        <f t="shared" si="11"/>
        <v/>
      </c>
    </row>
    <row r="720" spans="3:3">
      <c r="C720" s="1" t="str">
        <f t="shared" si="11"/>
        <v/>
      </c>
    </row>
    <row r="721" spans="3:3">
      <c r="C721" s="1" t="str">
        <f t="shared" si="11"/>
        <v/>
      </c>
    </row>
    <row r="722" spans="3:3">
      <c r="C722" s="1" t="str">
        <f t="shared" si="11"/>
        <v/>
      </c>
    </row>
    <row r="723" spans="3:3">
      <c r="C723" s="1" t="str">
        <f t="shared" si="11"/>
        <v/>
      </c>
    </row>
    <row r="724" spans="3:3">
      <c r="C724" s="1" t="str">
        <f t="shared" si="11"/>
        <v/>
      </c>
    </row>
    <row r="725" spans="3:3">
      <c r="C725" s="1" t="str">
        <f t="shared" si="11"/>
        <v/>
      </c>
    </row>
    <row r="726" spans="3:3">
      <c r="C726" s="1" t="str">
        <f t="shared" si="11"/>
        <v/>
      </c>
    </row>
    <row r="727" spans="3:3">
      <c r="C727" s="1" t="str">
        <f t="shared" si="11"/>
        <v/>
      </c>
    </row>
    <row r="728" spans="3:3">
      <c r="C728" s="1" t="str">
        <f t="shared" si="11"/>
        <v/>
      </c>
    </row>
    <row r="729" spans="3:3">
      <c r="C729" s="1" t="str">
        <f t="shared" si="11"/>
        <v/>
      </c>
    </row>
    <row r="730" spans="3:3">
      <c r="C730" s="1" t="str">
        <f t="shared" si="11"/>
        <v/>
      </c>
    </row>
    <row r="731" spans="3:3">
      <c r="C731" s="1" t="str">
        <f t="shared" si="11"/>
        <v/>
      </c>
    </row>
    <row r="732" spans="3:3">
      <c r="C732" s="1" t="str">
        <f t="shared" si="11"/>
        <v/>
      </c>
    </row>
    <row r="733" spans="3:3">
      <c r="C733" s="1" t="str">
        <f t="shared" si="11"/>
        <v/>
      </c>
    </row>
    <row r="734" spans="3:3">
      <c r="C734" s="1" t="str">
        <f t="shared" si="11"/>
        <v/>
      </c>
    </row>
    <row r="735" spans="3:3">
      <c r="C735" s="1" t="str">
        <f t="shared" si="11"/>
        <v/>
      </c>
    </row>
    <row r="736" spans="3:3">
      <c r="C736" s="1" t="str">
        <f t="shared" si="11"/>
        <v/>
      </c>
    </row>
    <row r="737" spans="3:3">
      <c r="C737" s="1" t="str">
        <f t="shared" si="11"/>
        <v/>
      </c>
    </row>
    <row r="738" spans="3:3">
      <c r="C738" s="1" t="str">
        <f t="shared" si="11"/>
        <v/>
      </c>
    </row>
    <row r="739" spans="3:3">
      <c r="C739" s="1" t="str">
        <f t="shared" si="11"/>
        <v/>
      </c>
    </row>
    <row r="740" spans="3:3">
      <c r="C740" s="1" t="str">
        <f t="shared" si="11"/>
        <v/>
      </c>
    </row>
    <row r="741" spans="3:3">
      <c r="C741" s="1" t="str">
        <f t="shared" si="11"/>
        <v/>
      </c>
    </row>
    <row r="742" spans="3:3">
      <c r="C742" s="1" t="str">
        <f t="shared" si="11"/>
        <v/>
      </c>
    </row>
    <row r="743" spans="3:3">
      <c r="C743" s="1" t="str">
        <f t="shared" si="11"/>
        <v/>
      </c>
    </row>
    <row r="744" spans="3:3">
      <c r="C744" s="1" t="str">
        <f t="shared" si="11"/>
        <v/>
      </c>
    </row>
    <row r="745" spans="3:3">
      <c r="C745" s="1" t="str">
        <f t="shared" si="11"/>
        <v/>
      </c>
    </row>
    <row r="746" spans="3:3">
      <c r="C746" s="1" t="str">
        <f t="shared" si="11"/>
        <v/>
      </c>
    </row>
    <row r="747" spans="3:3">
      <c r="C747" s="1" t="str">
        <f t="shared" si="11"/>
        <v/>
      </c>
    </row>
    <row r="748" spans="3:3">
      <c r="C748" s="1" t="str">
        <f t="shared" si="11"/>
        <v/>
      </c>
    </row>
    <row r="749" spans="3:3">
      <c r="C749" s="1" t="str">
        <f t="shared" si="11"/>
        <v/>
      </c>
    </row>
    <row r="750" spans="3:3">
      <c r="C750" s="1" t="str">
        <f t="shared" si="11"/>
        <v/>
      </c>
    </row>
    <row r="751" spans="3:3">
      <c r="C751" s="1" t="str">
        <f t="shared" si="11"/>
        <v/>
      </c>
    </row>
    <row r="752" spans="3:3">
      <c r="C752" s="1" t="str">
        <f t="shared" si="11"/>
        <v/>
      </c>
    </row>
    <row r="753" spans="3:3">
      <c r="C753" s="1" t="str">
        <f t="shared" si="11"/>
        <v/>
      </c>
    </row>
    <row r="754" spans="3:3">
      <c r="C754" s="1" t="str">
        <f t="shared" si="11"/>
        <v/>
      </c>
    </row>
    <row r="755" spans="3:3">
      <c r="C755" s="1" t="str">
        <f t="shared" si="11"/>
        <v/>
      </c>
    </row>
    <row r="756" spans="3:3">
      <c r="C756" s="1" t="str">
        <f t="shared" si="11"/>
        <v/>
      </c>
    </row>
    <row r="757" spans="3:3">
      <c r="C757" s="1" t="str">
        <f t="shared" si="11"/>
        <v/>
      </c>
    </row>
    <row r="758" spans="3:3">
      <c r="C758" s="1" t="str">
        <f t="shared" si="11"/>
        <v/>
      </c>
    </row>
    <row r="759" spans="3:3">
      <c r="C759" s="1" t="str">
        <f t="shared" si="11"/>
        <v/>
      </c>
    </row>
    <row r="760" spans="3:3">
      <c r="C760" s="1" t="str">
        <f t="shared" si="11"/>
        <v/>
      </c>
    </row>
    <row r="761" spans="3:3">
      <c r="C761" s="1" t="str">
        <f t="shared" si="11"/>
        <v/>
      </c>
    </row>
    <row r="762" spans="3:3">
      <c r="C762" s="1" t="str">
        <f t="shared" si="11"/>
        <v/>
      </c>
    </row>
    <row r="763" spans="3:3">
      <c r="C763" s="1" t="str">
        <f t="shared" si="11"/>
        <v/>
      </c>
    </row>
    <row r="764" spans="3:3">
      <c r="C764" s="1" t="str">
        <f t="shared" si="11"/>
        <v/>
      </c>
    </row>
    <row r="765" spans="3:3">
      <c r="C765" s="1" t="str">
        <f t="shared" si="11"/>
        <v/>
      </c>
    </row>
    <row r="766" spans="3:3">
      <c r="C766" s="1" t="str">
        <f t="shared" si="11"/>
        <v/>
      </c>
    </row>
    <row r="767" spans="3:3">
      <c r="C767" s="1" t="str">
        <f t="shared" si="11"/>
        <v/>
      </c>
    </row>
    <row r="768" spans="3:3">
      <c r="C768" s="1" t="str">
        <f t="shared" si="11"/>
        <v/>
      </c>
    </row>
    <row r="769" spans="3:3">
      <c r="C769" s="1" t="str">
        <f t="shared" si="11"/>
        <v/>
      </c>
    </row>
    <row r="770" spans="3:3">
      <c r="C770" s="1" t="str">
        <f t="shared" si="11"/>
        <v/>
      </c>
    </row>
    <row r="771" spans="3:3">
      <c r="C771" s="1" t="str">
        <f t="shared" si="11"/>
        <v/>
      </c>
    </row>
    <row r="772" spans="3:3">
      <c r="C772" s="1" t="str">
        <f t="shared" si="11"/>
        <v/>
      </c>
    </row>
    <row r="773" spans="3:3">
      <c r="C773" s="1" t="str">
        <f t="shared" si="11"/>
        <v/>
      </c>
    </row>
    <row r="774" spans="3:3">
      <c r="C774" s="1" t="str">
        <f t="shared" si="11"/>
        <v/>
      </c>
    </row>
    <row r="775" spans="3:3">
      <c r="C775" s="1" t="str">
        <f t="shared" ref="C775:C838" si="12">IF(AND(D775="",E775=""),"",ROW(C770))</f>
        <v/>
      </c>
    </row>
    <row r="776" spans="3:3">
      <c r="C776" s="1" t="str">
        <f t="shared" si="12"/>
        <v/>
      </c>
    </row>
    <row r="777" spans="3:3">
      <c r="C777" s="1" t="str">
        <f t="shared" si="12"/>
        <v/>
      </c>
    </row>
    <row r="778" spans="3:3">
      <c r="C778" s="1" t="str">
        <f t="shared" si="12"/>
        <v/>
      </c>
    </row>
    <row r="779" spans="3:3">
      <c r="C779" s="1" t="str">
        <f t="shared" si="12"/>
        <v/>
      </c>
    </row>
    <row r="780" spans="3:3">
      <c r="C780" s="1" t="str">
        <f t="shared" si="12"/>
        <v/>
      </c>
    </row>
    <row r="781" spans="3:3">
      <c r="C781" s="1" t="str">
        <f t="shared" si="12"/>
        <v/>
      </c>
    </row>
    <row r="782" spans="3:3">
      <c r="C782" s="1" t="str">
        <f t="shared" si="12"/>
        <v/>
      </c>
    </row>
    <row r="783" spans="3:3">
      <c r="C783" s="1" t="str">
        <f t="shared" si="12"/>
        <v/>
      </c>
    </row>
    <row r="784" spans="3:3">
      <c r="C784" s="1" t="str">
        <f t="shared" si="12"/>
        <v/>
      </c>
    </row>
    <row r="785" spans="3:3">
      <c r="C785" s="1" t="str">
        <f t="shared" si="12"/>
        <v/>
      </c>
    </row>
    <row r="786" spans="3:3">
      <c r="C786" s="1" t="str">
        <f t="shared" si="12"/>
        <v/>
      </c>
    </row>
    <row r="787" spans="3:3">
      <c r="C787" s="1" t="str">
        <f t="shared" si="12"/>
        <v/>
      </c>
    </row>
    <row r="788" spans="3:3">
      <c r="C788" s="1" t="str">
        <f t="shared" si="12"/>
        <v/>
      </c>
    </row>
    <row r="789" spans="3:3">
      <c r="C789" s="1" t="str">
        <f t="shared" si="12"/>
        <v/>
      </c>
    </row>
    <row r="790" spans="3:3">
      <c r="C790" s="1" t="str">
        <f t="shared" si="12"/>
        <v/>
      </c>
    </row>
    <row r="791" spans="3:3">
      <c r="C791" s="1" t="str">
        <f t="shared" si="12"/>
        <v/>
      </c>
    </row>
    <row r="792" spans="3:3">
      <c r="C792" s="1" t="str">
        <f t="shared" si="12"/>
        <v/>
      </c>
    </row>
    <row r="793" spans="3:3">
      <c r="C793" s="1" t="str">
        <f t="shared" si="12"/>
        <v/>
      </c>
    </row>
    <row r="794" spans="3:3">
      <c r="C794" s="1" t="str">
        <f t="shared" si="12"/>
        <v/>
      </c>
    </row>
    <row r="795" spans="3:3">
      <c r="C795" s="1" t="str">
        <f t="shared" si="12"/>
        <v/>
      </c>
    </row>
    <row r="796" spans="3:3">
      <c r="C796" s="1" t="str">
        <f t="shared" si="12"/>
        <v/>
      </c>
    </row>
    <row r="797" spans="3:3">
      <c r="C797" s="1" t="str">
        <f t="shared" si="12"/>
        <v/>
      </c>
    </row>
    <row r="798" spans="3:3">
      <c r="C798" s="1" t="str">
        <f t="shared" si="12"/>
        <v/>
      </c>
    </row>
    <row r="799" spans="3:3">
      <c r="C799" s="1" t="str">
        <f t="shared" si="12"/>
        <v/>
      </c>
    </row>
    <row r="800" spans="3:3">
      <c r="C800" s="1" t="str">
        <f t="shared" si="12"/>
        <v/>
      </c>
    </row>
    <row r="801" spans="3:3">
      <c r="C801" s="1" t="str">
        <f t="shared" si="12"/>
        <v/>
      </c>
    </row>
    <row r="802" spans="3:3">
      <c r="C802" s="1" t="str">
        <f t="shared" si="12"/>
        <v/>
      </c>
    </row>
    <row r="803" spans="3:3">
      <c r="C803" s="1" t="str">
        <f t="shared" si="12"/>
        <v/>
      </c>
    </row>
    <row r="804" spans="3:3">
      <c r="C804" s="1" t="str">
        <f t="shared" si="12"/>
        <v/>
      </c>
    </row>
    <row r="805" spans="3:3">
      <c r="C805" s="1" t="str">
        <f t="shared" si="12"/>
        <v/>
      </c>
    </row>
    <row r="806" spans="3:3">
      <c r="C806" s="1" t="str">
        <f t="shared" si="12"/>
        <v/>
      </c>
    </row>
    <row r="807" spans="3:3">
      <c r="C807" s="1" t="str">
        <f t="shared" si="12"/>
        <v/>
      </c>
    </row>
    <row r="808" spans="3:3">
      <c r="C808" s="1" t="str">
        <f t="shared" si="12"/>
        <v/>
      </c>
    </row>
    <row r="809" spans="3:3">
      <c r="C809" s="1" t="str">
        <f t="shared" si="12"/>
        <v/>
      </c>
    </row>
    <row r="810" spans="3:3">
      <c r="C810" s="1" t="str">
        <f t="shared" si="12"/>
        <v/>
      </c>
    </row>
    <row r="811" spans="3:3">
      <c r="C811" s="1" t="str">
        <f t="shared" si="12"/>
        <v/>
      </c>
    </row>
    <row r="812" spans="3:3">
      <c r="C812" s="1" t="str">
        <f t="shared" si="12"/>
        <v/>
      </c>
    </row>
    <row r="813" spans="3:3">
      <c r="C813" s="1" t="str">
        <f t="shared" si="12"/>
        <v/>
      </c>
    </row>
    <row r="814" spans="3:3">
      <c r="C814" s="1" t="str">
        <f t="shared" si="12"/>
        <v/>
      </c>
    </row>
    <row r="815" spans="3:3">
      <c r="C815" s="1" t="str">
        <f t="shared" si="12"/>
        <v/>
      </c>
    </row>
    <row r="816" spans="3:3">
      <c r="C816" s="1" t="str">
        <f t="shared" si="12"/>
        <v/>
      </c>
    </row>
    <row r="817" spans="3:3">
      <c r="C817" s="1" t="str">
        <f t="shared" si="12"/>
        <v/>
      </c>
    </row>
    <row r="818" spans="3:3">
      <c r="C818" s="1" t="str">
        <f t="shared" si="12"/>
        <v/>
      </c>
    </row>
    <row r="819" spans="3:3">
      <c r="C819" s="1" t="str">
        <f t="shared" si="12"/>
        <v/>
      </c>
    </row>
    <row r="820" spans="3:3">
      <c r="C820" s="1" t="str">
        <f t="shared" si="12"/>
        <v/>
      </c>
    </row>
    <row r="821" spans="3:3">
      <c r="C821" s="1" t="str">
        <f t="shared" si="12"/>
        <v/>
      </c>
    </row>
    <row r="822" spans="3:3">
      <c r="C822" s="1" t="str">
        <f t="shared" si="12"/>
        <v/>
      </c>
    </row>
    <row r="823" spans="3:3">
      <c r="C823" s="1" t="str">
        <f t="shared" si="12"/>
        <v/>
      </c>
    </row>
    <row r="824" spans="3:3">
      <c r="C824" s="1" t="str">
        <f t="shared" si="12"/>
        <v/>
      </c>
    </row>
    <row r="825" spans="3:3">
      <c r="C825" s="1" t="str">
        <f t="shared" si="12"/>
        <v/>
      </c>
    </row>
    <row r="826" spans="3:3">
      <c r="C826" s="1" t="str">
        <f t="shared" si="12"/>
        <v/>
      </c>
    </row>
    <row r="827" spans="3:3">
      <c r="C827" s="1" t="str">
        <f t="shared" si="12"/>
        <v/>
      </c>
    </row>
    <row r="828" spans="3:3">
      <c r="C828" s="1" t="str">
        <f t="shared" si="12"/>
        <v/>
      </c>
    </row>
    <row r="829" spans="3:3">
      <c r="C829" s="1" t="str">
        <f t="shared" si="12"/>
        <v/>
      </c>
    </row>
    <row r="830" spans="3:3">
      <c r="C830" s="1" t="str">
        <f t="shared" si="12"/>
        <v/>
      </c>
    </row>
    <row r="831" spans="3:3">
      <c r="C831" s="1" t="str">
        <f t="shared" si="12"/>
        <v/>
      </c>
    </row>
    <row r="832" spans="3:3">
      <c r="C832" s="1" t="str">
        <f t="shared" si="12"/>
        <v/>
      </c>
    </row>
    <row r="833" spans="3:3">
      <c r="C833" s="1" t="str">
        <f t="shared" si="12"/>
        <v/>
      </c>
    </row>
    <row r="834" spans="3:3">
      <c r="C834" s="1" t="str">
        <f t="shared" si="12"/>
        <v/>
      </c>
    </row>
    <row r="835" spans="3:3">
      <c r="C835" s="1" t="str">
        <f t="shared" si="12"/>
        <v/>
      </c>
    </row>
    <row r="836" spans="3:3">
      <c r="C836" s="1" t="str">
        <f t="shared" si="12"/>
        <v/>
      </c>
    </row>
    <row r="837" spans="3:3">
      <c r="C837" s="1" t="str">
        <f t="shared" si="12"/>
        <v/>
      </c>
    </row>
    <row r="838" spans="3:3">
      <c r="C838" s="1" t="str">
        <f t="shared" si="12"/>
        <v/>
      </c>
    </row>
    <row r="839" spans="3:3">
      <c r="C839" s="1" t="str">
        <f t="shared" ref="C839:C902" si="13">IF(AND(D839="",E839=""),"",ROW(C834))</f>
        <v/>
      </c>
    </row>
    <row r="840" spans="3:3">
      <c r="C840" s="1" t="str">
        <f t="shared" si="13"/>
        <v/>
      </c>
    </row>
    <row r="841" spans="3:3">
      <c r="C841" s="1" t="str">
        <f t="shared" si="13"/>
        <v/>
      </c>
    </row>
    <row r="842" spans="3:3">
      <c r="C842" s="1" t="str">
        <f t="shared" si="13"/>
        <v/>
      </c>
    </row>
    <row r="843" spans="3:3">
      <c r="C843" s="1" t="str">
        <f t="shared" si="13"/>
        <v/>
      </c>
    </row>
    <row r="844" spans="3:3">
      <c r="C844" s="1" t="str">
        <f t="shared" si="13"/>
        <v/>
      </c>
    </row>
    <row r="845" spans="3:3">
      <c r="C845" s="1" t="str">
        <f t="shared" si="13"/>
        <v/>
      </c>
    </row>
    <row r="846" spans="3:3">
      <c r="C846" s="1" t="str">
        <f t="shared" si="13"/>
        <v/>
      </c>
    </row>
    <row r="847" spans="3:3">
      <c r="C847" s="1" t="str">
        <f t="shared" si="13"/>
        <v/>
      </c>
    </row>
    <row r="848" spans="3:3">
      <c r="C848" s="1" t="str">
        <f t="shared" si="13"/>
        <v/>
      </c>
    </row>
    <row r="849" spans="3:3">
      <c r="C849" s="1" t="str">
        <f t="shared" si="13"/>
        <v/>
      </c>
    </row>
    <row r="850" spans="3:3">
      <c r="C850" s="1" t="str">
        <f t="shared" si="13"/>
        <v/>
      </c>
    </row>
    <row r="851" spans="3:3">
      <c r="C851" s="1" t="str">
        <f t="shared" si="13"/>
        <v/>
      </c>
    </row>
    <row r="852" spans="3:3">
      <c r="C852" s="1" t="str">
        <f t="shared" si="13"/>
        <v/>
      </c>
    </row>
    <row r="853" spans="3:3">
      <c r="C853" s="1" t="str">
        <f t="shared" si="13"/>
        <v/>
      </c>
    </row>
    <row r="854" spans="3:3">
      <c r="C854" s="1" t="str">
        <f t="shared" si="13"/>
        <v/>
      </c>
    </row>
    <row r="855" spans="3:3">
      <c r="C855" s="1" t="str">
        <f t="shared" si="13"/>
        <v/>
      </c>
    </row>
    <row r="856" spans="3:3">
      <c r="C856" s="1" t="str">
        <f t="shared" si="13"/>
        <v/>
      </c>
    </row>
    <row r="857" spans="3:3">
      <c r="C857" s="1" t="str">
        <f t="shared" si="13"/>
        <v/>
      </c>
    </row>
    <row r="858" spans="3:3">
      <c r="C858" s="1" t="str">
        <f t="shared" si="13"/>
        <v/>
      </c>
    </row>
    <row r="859" spans="3:3">
      <c r="C859" s="1" t="str">
        <f t="shared" si="13"/>
        <v/>
      </c>
    </row>
    <row r="860" spans="3:3">
      <c r="C860" s="1" t="str">
        <f t="shared" si="13"/>
        <v/>
      </c>
    </row>
    <row r="861" spans="3:3">
      <c r="C861" s="1" t="str">
        <f t="shared" si="13"/>
        <v/>
      </c>
    </row>
    <row r="862" spans="3:3">
      <c r="C862" s="1" t="str">
        <f t="shared" si="13"/>
        <v/>
      </c>
    </row>
    <row r="863" spans="3:3">
      <c r="C863" s="1" t="str">
        <f t="shared" si="13"/>
        <v/>
      </c>
    </row>
    <row r="864" spans="3:3">
      <c r="C864" s="1" t="str">
        <f t="shared" si="13"/>
        <v/>
      </c>
    </row>
    <row r="865" spans="3:3">
      <c r="C865" s="1" t="str">
        <f t="shared" si="13"/>
        <v/>
      </c>
    </row>
    <row r="866" spans="3:3">
      <c r="C866" s="1" t="str">
        <f t="shared" si="13"/>
        <v/>
      </c>
    </row>
    <row r="867" spans="3:3">
      <c r="C867" s="1" t="str">
        <f t="shared" si="13"/>
        <v/>
      </c>
    </row>
    <row r="868" spans="3:3">
      <c r="C868" s="1" t="str">
        <f t="shared" si="13"/>
        <v/>
      </c>
    </row>
    <row r="869" spans="3:3">
      <c r="C869" s="1" t="str">
        <f t="shared" si="13"/>
        <v/>
      </c>
    </row>
    <row r="870" spans="3:3">
      <c r="C870" s="1" t="str">
        <f t="shared" si="13"/>
        <v/>
      </c>
    </row>
    <row r="871" spans="3:3">
      <c r="C871" s="1" t="str">
        <f t="shared" si="13"/>
        <v/>
      </c>
    </row>
    <row r="872" spans="3:3">
      <c r="C872" s="1" t="str">
        <f t="shared" si="13"/>
        <v/>
      </c>
    </row>
    <row r="873" spans="3:3">
      <c r="C873" s="1" t="str">
        <f t="shared" si="13"/>
        <v/>
      </c>
    </row>
    <row r="874" spans="3:3">
      <c r="C874" s="1" t="str">
        <f t="shared" si="13"/>
        <v/>
      </c>
    </row>
    <row r="875" spans="3:3">
      <c r="C875" s="1" t="str">
        <f t="shared" si="13"/>
        <v/>
      </c>
    </row>
    <row r="876" spans="3:3">
      <c r="C876" s="1" t="str">
        <f t="shared" si="13"/>
        <v/>
      </c>
    </row>
    <row r="877" spans="3:3">
      <c r="C877" s="1" t="str">
        <f t="shared" si="13"/>
        <v/>
      </c>
    </row>
    <row r="878" spans="3:3">
      <c r="C878" s="1" t="str">
        <f t="shared" si="13"/>
        <v/>
      </c>
    </row>
    <row r="879" spans="3:3">
      <c r="C879" s="1" t="str">
        <f t="shared" si="13"/>
        <v/>
      </c>
    </row>
    <row r="880" spans="3:3">
      <c r="C880" s="1" t="str">
        <f t="shared" si="13"/>
        <v/>
      </c>
    </row>
    <row r="881" spans="3:3">
      <c r="C881" s="1" t="str">
        <f t="shared" si="13"/>
        <v/>
      </c>
    </row>
    <row r="882" spans="3:3">
      <c r="C882" s="1" t="str">
        <f t="shared" si="13"/>
        <v/>
      </c>
    </row>
    <row r="883" spans="3:3">
      <c r="C883" s="1" t="str">
        <f t="shared" si="13"/>
        <v/>
      </c>
    </row>
    <row r="884" spans="3:3">
      <c r="C884" s="1" t="str">
        <f t="shared" si="13"/>
        <v/>
      </c>
    </row>
    <row r="885" spans="3:3">
      <c r="C885" s="1" t="str">
        <f t="shared" si="13"/>
        <v/>
      </c>
    </row>
    <row r="886" spans="3:3">
      <c r="C886" s="1" t="str">
        <f t="shared" si="13"/>
        <v/>
      </c>
    </row>
    <row r="887" spans="3:3">
      <c r="C887" s="1" t="str">
        <f t="shared" si="13"/>
        <v/>
      </c>
    </row>
    <row r="888" spans="3:3">
      <c r="C888" s="1" t="str">
        <f t="shared" si="13"/>
        <v/>
      </c>
    </row>
    <row r="889" spans="3:3">
      <c r="C889" s="1" t="str">
        <f t="shared" si="13"/>
        <v/>
      </c>
    </row>
    <row r="890" spans="3:3">
      <c r="C890" s="1" t="str">
        <f t="shared" si="13"/>
        <v/>
      </c>
    </row>
    <row r="891" spans="3:3">
      <c r="C891" s="1" t="str">
        <f t="shared" si="13"/>
        <v/>
      </c>
    </row>
    <row r="892" spans="3:3">
      <c r="C892" s="1" t="str">
        <f t="shared" si="13"/>
        <v/>
      </c>
    </row>
    <row r="893" spans="3:3">
      <c r="C893" s="1" t="str">
        <f t="shared" si="13"/>
        <v/>
      </c>
    </row>
    <row r="894" spans="3:3">
      <c r="C894" s="1" t="str">
        <f t="shared" si="13"/>
        <v/>
      </c>
    </row>
    <row r="895" spans="3:3">
      <c r="C895" s="1" t="str">
        <f t="shared" si="13"/>
        <v/>
      </c>
    </row>
    <row r="896" spans="3:3">
      <c r="C896" s="1" t="str">
        <f t="shared" si="13"/>
        <v/>
      </c>
    </row>
    <row r="897" spans="3:3">
      <c r="C897" s="1" t="str">
        <f t="shared" si="13"/>
        <v/>
      </c>
    </row>
    <row r="898" spans="3:3">
      <c r="C898" s="1" t="str">
        <f t="shared" si="13"/>
        <v/>
      </c>
    </row>
    <row r="899" spans="3:3">
      <c r="C899" s="1" t="str">
        <f t="shared" si="13"/>
        <v/>
      </c>
    </row>
    <row r="900" spans="3:3">
      <c r="C900" s="1" t="str">
        <f t="shared" si="13"/>
        <v/>
      </c>
    </row>
    <row r="901" spans="3:3">
      <c r="C901" s="1" t="str">
        <f t="shared" si="13"/>
        <v/>
      </c>
    </row>
    <row r="902" spans="3:3">
      <c r="C902" s="1" t="str">
        <f t="shared" si="13"/>
        <v/>
      </c>
    </row>
    <row r="903" spans="3:3">
      <c r="C903" s="1" t="str">
        <f t="shared" ref="C903:C941" si="14">IF(AND(D903="",E903=""),"",ROW(C898))</f>
        <v/>
      </c>
    </row>
    <row r="904" spans="3:3">
      <c r="C904" s="1" t="str">
        <f t="shared" si="14"/>
        <v/>
      </c>
    </row>
    <row r="905" spans="3:3">
      <c r="C905" s="1" t="str">
        <f t="shared" si="14"/>
        <v/>
      </c>
    </row>
    <row r="906" spans="3:3">
      <c r="C906" s="1" t="str">
        <f t="shared" si="14"/>
        <v/>
      </c>
    </row>
    <row r="907" spans="3:3">
      <c r="C907" s="1" t="str">
        <f t="shared" si="14"/>
        <v/>
      </c>
    </row>
    <row r="908" spans="3:3">
      <c r="C908" s="1" t="str">
        <f t="shared" si="14"/>
        <v/>
      </c>
    </row>
    <row r="909" spans="3:3">
      <c r="C909" s="1" t="str">
        <f t="shared" si="14"/>
        <v/>
      </c>
    </row>
    <row r="910" spans="3:3">
      <c r="C910" s="1" t="str">
        <f t="shared" si="14"/>
        <v/>
      </c>
    </row>
    <row r="911" spans="3:3">
      <c r="C911" s="1" t="str">
        <f t="shared" si="14"/>
        <v/>
      </c>
    </row>
    <row r="912" spans="3:3">
      <c r="C912" s="1" t="str">
        <f t="shared" si="14"/>
        <v/>
      </c>
    </row>
    <row r="913" spans="3:3">
      <c r="C913" s="1" t="str">
        <f t="shared" si="14"/>
        <v/>
      </c>
    </row>
    <row r="914" spans="3:3">
      <c r="C914" s="1" t="str">
        <f t="shared" si="14"/>
        <v/>
      </c>
    </row>
    <row r="915" spans="3:3">
      <c r="C915" s="1" t="str">
        <f t="shared" si="14"/>
        <v/>
      </c>
    </row>
    <row r="916" spans="3:3">
      <c r="C916" s="1" t="str">
        <f t="shared" si="14"/>
        <v/>
      </c>
    </row>
    <row r="917" spans="3:3">
      <c r="C917" s="1" t="str">
        <f t="shared" si="14"/>
        <v/>
      </c>
    </row>
    <row r="918" spans="3:3">
      <c r="C918" s="1" t="str">
        <f t="shared" si="14"/>
        <v/>
      </c>
    </row>
    <row r="919" spans="3:3">
      <c r="C919" s="1" t="str">
        <f t="shared" si="14"/>
        <v/>
      </c>
    </row>
    <row r="920" spans="3:3">
      <c r="C920" s="1" t="str">
        <f t="shared" si="14"/>
        <v/>
      </c>
    </row>
    <row r="921" spans="3:3">
      <c r="C921" s="1" t="str">
        <f t="shared" si="14"/>
        <v/>
      </c>
    </row>
    <row r="922" spans="3:3">
      <c r="C922" s="1" t="str">
        <f t="shared" si="14"/>
        <v/>
      </c>
    </row>
    <row r="923" spans="3:3">
      <c r="C923" s="1" t="str">
        <f t="shared" si="14"/>
        <v/>
      </c>
    </row>
    <row r="924" spans="3:3">
      <c r="C924" s="1" t="str">
        <f t="shared" si="14"/>
        <v/>
      </c>
    </row>
    <row r="925" spans="3:3">
      <c r="C925" s="1" t="str">
        <f t="shared" si="14"/>
        <v/>
      </c>
    </row>
    <row r="926" spans="3:3">
      <c r="C926" s="1" t="str">
        <f t="shared" si="14"/>
        <v/>
      </c>
    </row>
    <row r="927" spans="3:3">
      <c r="C927" s="1" t="str">
        <f t="shared" si="14"/>
        <v/>
      </c>
    </row>
    <row r="928" spans="3:3">
      <c r="C928" s="1" t="str">
        <f t="shared" si="14"/>
        <v/>
      </c>
    </row>
    <row r="929" spans="3:3">
      <c r="C929" s="1" t="str">
        <f t="shared" si="14"/>
        <v/>
      </c>
    </row>
    <row r="930" spans="3:3">
      <c r="C930" s="1" t="str">
        <f t="shared" si="14"/>
        <v/>
      </c>
    </row>
    <row r="931" spans="3:3">
      <c r="C931" s="1" t="str">
        <f t="shared" si="14"/>
        <v/>
      </c>
    </row>
    <row r="932" spans="3:3">
      <c r="C932" s="1" t="str">
        <f t="shared" si="14"/>
        <v/>
      </c>
    </row>
    <row r="933" spans="3:3">
      <c r="C933" s="1" t="str">
        <f t="shared" si="14"/>
        <v/>
      </c>
    </row>
    <row r="934" spans="3:3">
      <c r="C934" s="1" t="str">
        <f t="shared" si="14"/>
        <v/>
      </c>
    </row>
    <row r="935" spans="3:3">
      <c r="C935" s="1" t="str">
        <f t="shared" si="14"/>
        <v/>
      </c>
    </row>
    <row r="936" spans="3:3">
      <c r="C936" s="1" t="str">
        <f t="shared" si="14"/>
        <v/>
      </c>
    </row>
    <row r="937" spans="3:3">
      <c r="C937" s="1" t="str">
        <f t="shared" si="14"/>
        <v/>
      </c>
    </row>
    <row r="938" spans="3:3">
      <c r="C938" s="1" t="str">
        <f t="shared" si="14"/>
        <v/>
      </c>
    </row>
    <row r="939" spans="3:3">
      <c r="C939" s="1" t="str">
        <f t="shared" si="14"/>
        <v/>
      </c>
    </row>
    <row r="940" spans="3:3">
      <c r="C940" s="1" t="str">
        <f t="shared" si="14"/>
        <v/>
      </c>
    </row>
    <row r="941" spans="3:3">
      <c r="C941" s="1" t="str">
        <f t="shared" si="14"/>
        <v/>
      </c>
    </row>
  </sheetData>
  <mergeCells count="3">
    <mergeCell ref="C4:C5"/>
    <mergeCell ref="D4:D5"/>
    <mergeCell ref="E4:E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4:E1000"/>
  <sheetViews>
    <sheetView workbookViewId="0">
      <selection activeCell="G16" sqref="G16"/>
    </sheetView>
  </sheetViews>
  <sheetFormatPr defaultRowHeight="14.4"/>
  <cols>
    <col min="4" max="4" width="13.6640625" bestFit="1" customWidth="1"/>
    <col min="5" max="5" width="23.5546875" bestFit="1" customWidth="1"/>
  </cols>
  <sheetData>
    <row r="4" spans="3:5">
      <c r="C4" s="75" t="s">
        <v>4</v>
      </c>
      <c r="D4" s="75" t="s">
        <v>49</v>
      </c>
      <c r="E4" s="75" t="s">
        <v>50</v>
      </c>
    </row>
    <row r="5" spans="3:5">
      <c r="C5" s="75"/>
      <c r="D5" s="75"/>
      <c r="E5" s="75"/>
    </row>
    <row r="6" spans="3:5">
      <c r="C6" s="1">
        <f>IF(AND(D6="",E6=""),"",ROW(C1))</f>
        <v>1</v>
      </c>
      <c r="D6" s="5" t="str">
        <f>IF(E6="","","VEN-"&amp; TEXT(IF(COUNTIF(E$6:E6,E6)&gt;=1,MATCH(E6,$E$6:$E$1000,0),COUNTA(UNIQUE(E$6:E6))),"000"))</f>
        <v>VEN-001</v>
      </c>
      <c r="E6" s="2" t="s">
        <v>37</v>
      </c>
    </row>
    <row r="7" spans="3:5">
      <c r="C7" s="1">
        <f t="shared" ref="C7:C70" si="0">IF(AND(D7="",E7=""),"",ROW(C2))</f>
        <v>2</v>
      </c>
      <c r="D7" s="5" t="str">
        <f>IF(E7="","","VEN-"&amp; TEXT(IF(COUNTIF(E$6:E7,E7)&gt;=1,MATCH(E7,$E$6:$E$1000,0),COUNTA(UNIQUE(E$6:E7))),"000"))</f>
        <v>VEN-002</v>
      </c>
      <c r="E7" s="2" t="s">
        <v>38</v>
      </c>
    </row>
    <row r="8" spans="3:5">
      <c r="C8" s="1">
        <f t="shared" si="0"/>
        <v>3</v>
      </c>
      <c r="D8" s="5" t="str">
        <f>IF(E8="","","VEN-"&amp; TEXT(IF(COUNTIF(E$6:E8,E8)&gt;=1,MATCH(E8,$E$6:$E$1000,0),COUNTA(UNIQUE(E$6:E8))),"000"))</f>
        <v>VEN-003</v>
      </c>
      <c r="E8" s="2" t="s">
        <v>39</v>
      </c>
    </row>
    <row r="9" spans="3:5">
      <c r="C9" s="1">
        <f t="shared" si="0"/>
        <v>4</v>
      </c>
      <c r="D9" s="5" t="str">
        <f>IF(E9="","","VEN-"&amp; TEXT(IF(COUNTIF(E$6:E9,E9)&gt;=1,MATCH(E9,$E$6:$E$1000,0),COUNTA(UNIQUE(E$6:E9))),"000"))</f>
        <v>VEN-004</v>
      </c>
      <c r="E9" s="2" t="s">
        <v>40</v>
      </c>
    </row>
    <row r="10" spans="3:5">
      <c r="C10" s="1">
        <f t="shared" si="0"/>
        <v>5</v>
      </c>
      <c r="D10" s="5" t="str">
        <f>IF(E10="","","VEN-"&amp; TEXT(IF(COUNTIF(E$6:E10,E10)&gt;=1,MATCH(E10,$E$6:$E$1000,0),COUNTA(UNIQUE(E$6:E10))),"000"))</f>
        <v>VEN-005</v>
      </c>
      <c r="E10" s="2" t="s">
        <v>41</v>
      </c>
    </row>
    <row r="11" spans="3:5">
      <c r="C11" s="1">
        <f t="shared" si="0"/>
        <v>6</v>
      </c>
      <c r="D11" s="5" t="str">
        <f>IF(E11="","","VEN-"&amp; TEXT(IF(COUNTIF(E$6:E11,E11)&gt;=1,MATCH(E11,$E$6:$E$1000,0),COUNTA(UNIQUE(E$6:E11))),"000"))</f>
        <v>VEN-006</v>
      </c>
      <c r="E11" s="2" t="s">
        <v>42</v>
      </c>
    </row>
    <row r="12" spans="3:5">
      <c r="C12" s="1">
        <f t="shared" si="0"/>
        <v>7</v>
      </c>
      <c r="D12" s="5" t="str">
        <f>IF(E12="","","VEN-"&amp; TEXT(IF(COUNTIF(E$6:E12,E12)&gt;=1,MATCH(E12,$E$6:$E$1000,0),COUNTA(UNIQUE(E$6:E12))),"000"))</f>
        <v>VEN-007</v>
      </c>
      <c r="E12" s="2" t="s">
        <v>44</v>
      </c>
    </row>
    <row r="13" spans="3:5">
      <c r="C13" s="1">
        <f t="shared" si="0"/>
        <v>8</v>
      </c>
      <c r="D13" s="5" t="str">
        <f>IF(E13="","","VEN-"&amp; TEXT(IF(COUNTIF(E$6:E13,E13)&gt;=1,MATCH(E13,$E$6:$E$1000,0),COUNTA(UNIQUE(E$6:E13))),"000"))</f>
        <v>VEN-008</v>
      </c>
      <c r="E13" s="2" t="s">
        <v>45</v>
      </c>
    </row>
    <row r="14" spans="3:5">
      <c r="C14" s="1">
        <f t="shared" si="0"/>
        <v>9</v>
      </c>
      <c r="D14" s="5" t="str">
        <f>IF(E14="","","VEN-"&amp; TEXT(IF(COUNTIF(E$6:E14,E14)&gt;=1,MATCH(E14,$E$6:$E$1000,0),COUNTA(UNIQUE(E$6:E14))),"000"))</f>
        <v>VEN-009</v>
      </c>
      <c r="E14" s="2" t="s">
        <v>46</v>
      </c>
    </row>
    <row r="15" spans="3:5">
      <c r="C15" s="1">
        <f t="shared" si="0"/>
        <v>10</v>
      </c>
      <c r="D15" s="5" t="str">
        <f>IF(E15="","","VEN-"&amp; TEXT(IF(COUNTIF(E$6:E15,E15)&gt;=1,MATCH(E15,$E$6:$E$1000,0),COUNTA(UNIQUE(E$6:E15))),"000"))</f>
        <v>VEN-010</v>
      </c>
      <c r="E15" s="2" t="s">
        <v>59</v>
      </c>
    </row>
    <row r="16" spans="3:5">
      <c r="C16" s="1">
        <f t="shared" si="0"/>
        <v>11</v>
      </c>
      <c r="D16" s="5" t="str">
        <f>IF(E16="","","VEN-"&amp; TEXT(IF(COUNTIF(E$6:E16,E16)&gt;=1,MATCH(E16,$E$6:$E$1000,0),COUNTA(UNIQUE(E$6:E16))),"000"))</f>
        <v>VEN-011</v>
      </c>
      <c r="E16" s="2" t="s">
        <v>60</v>
      </c>
    </row>
    <row r="17" spans="3:5">
      <c r="C17" s="1">
        <f t="shared" si="0"/>
        <v>12</v>
      </c>
      <c r="D17" s="5" t="str">
        <f>IF(E17="","","VEN-"&amp; TEXT(IF(COUNTIF(E$6:E17,E17)&gt;=1,MATCH(E17,$E$6:$E$1000,0),COUNTA(UNIQUE(E$6:E17))),"000"))</f>
        <v>VEN-012</v>
      </c>
      <c r="E17" s="2" t="s">
        <v>61</v>
      </c>
    </row>
    <row r="18" spans="3:5">
      <c r="C18" s="1">
        <f t="shared" si="0"/>
        <v>13</v>
      </c>
      <c r="D18" s="5" t="str">
        <f>IF(E18="","","VEN-"&amp; TEXT(IF(COUNTIF(E$6:E18,E18)&gt;=1,MATCH(E18,$E$6:$E$1000,0),COUNTA(UNIQUE(E$6:E18))),"000"))</f>
        <v>VEN-013</v>
      </c>
      <c r="E18" s="2" t="s">
        <v>102</v>
      </c>
    </row>
    <row r="19" spans="3:5">
      <c r="C19" s="1" t="str">
        <f t="shared" si="0"/>
        <v/>
      </c>
      <c r="D19" s="5" t="str">
        <f>IF(E19="","","VEN-"&amp; TEXT(IF(COUNTIF(E$6:E19,E19)&gt;=1,MATCH(E19,$E$6:$E$1000,0),COUNTA(UNIQUE(E$6:E19))),"000"))</f>
        <v/>
      </c>
    </row>
    <row r="20" spans="3:5">
      <c r="C20" s="1" t="str">
        <f t="shared" si="0"/>
        <v/>
      </c>
      <c r="D20" s="5" t="str">
        <f>IF(E20="","","VEN-"&amp; TEXT(IF(COUNTIF(E$6:E20,E20)&gt;=1,MATCH(E20,$E$6:$E$1000,0),COUNTA(UNIQUE(E$6:E20))),"000"))</f>
        <v/>
      </c>
    </row>
    <row r="21" spans="3:5">
      <c r="C21" s="1" t="str">
        <f t="shared" si="0"/>
        <v/>
      </c>
      <c r="D21" s="5" t="str">
        <f>IF(E21="","","VEN-"&amp; TEXT(IF(COUNTIF(E$6:E21,E21)&gt;=1,MATCH(E21,$E$6:$E$1000,0),COUNTA(UNIQUE(E$6:E21))),"000"))</f>
        <v/>
      </c>
    </row>
    <row r="22" spans="3:5">
      <c r="C22" s="1" t="str">
        <f t="shared" si="0"/>
        <v/>
      </c>
      <c r="D22" s="5" t="str">
        <f>IF(E22="","","VEN-"&amp; TEXT(IF(COUNTIF(E$6:E22,E22)&gt;=1,MATCH(E22,$E$6:$E$1000,0),COUNTA(UNIQUE(E$6:E22))),"000"))</f>
        <v/>
      </c>
    </row>
    <row r="23" spans="3:5">
      <c r="C23" s="1" t="str">
        <f t="shared" si="0"/>
        <v/>
      </c>
      <c r="D23" s="5" t="str">
        <f>IF(E23="","","VEN-"&amp; TEXT(IF(COUNTIF(E$6:E23,E23)&gt;=1,MATCH(E23,$E$6:$E$1000,0),COUNTA(UNIQUE(E$6:E23))),"000"))</f>
        <v/>
      </c>
    </row>
    <row r="24" spans="3:5">
      <c r="C24" s="1" t="str">
        <f t="shared" si="0"/>
        <v/>
      </c>
      <c r="D24" s="5" t="str">
        <f>IF(E24="","","VEN-"&amp; TEXT(IF(COUNTIF(E$6:E24,E24)&gt;=1,MATCH(E24,$E$6:$E$1000,0),COUNTA(UNIQUE(E$6:E24))),"000"))</f>
        <v/>
      </c>
    </row>
    <row r="25" spans="3:5">
      <c r="C25" s="1" t="str">
        <f t="shared" si="0"/>
        <v/>
      </c>
      <c r="D25" s="5" t="str">
        <f>IF(E25="","","VEN-"&amp; TEXT(IF(COUNTIF(E$6:E25,E25)&gt;=1,MATCH(E25,$E$6:$E$1000,0),COUNTA(UNIQUE(E$6:E25))),"000"))</f>
        <v/>
      </c>
    </row>
    <row r="26" spans="3:5">
      <c r="C26" s="1" t="str">
        <f t="shared" si="0"/>
        <v/>
      </c>
      <c r="D26" s="5" t="str">
        <f>IF(E26="","","VEN-"&amp; TEXT(IF(COUNTIF(E$6:E26,E26)&gt;=1,MATCH(E26,$E$6:$E$1000,0),COUNTA(UNIQUE(E$6:E26))),"000"))</f>
        <v/>
      </c>
    </row>
    <row r="27" spans="3:5">
      <c r="C27" s="1" t="str">
        <f t="shared" si="0"/>
        <v/>
      </c>
      <c r="D27" s="5" t="str">
        <f>IF(E27="","","VEN-"&amp; TEXT(IF(COUNTIF(E$6:E27,E27)&gt;=1,MATCH(E27,$E$6:$E$1000,0),COUNTA(UNIQUE(E$6:E27))),"000"))</f>
        <v/>
      </c>
    </row>
    <row r="28" spans="3:5">
      <c r="C28" s="1" t="str">
        <f t="shared" si="0"/>
        <v/>
      </c>
      <c r="D28" s="5" t="str">
        <f>IF(E28="","","VEN-"&amp; TEXT(IF(COUNTIF(E$6:E28,E28)&gt;=1,MATCH(E28,$E$6:$E$1000,0),COUNTA(UNIQUE(E$6:E28))),"000"))</f>
        <v/>
      </c>
    </row>
    <row r="29" spans="3:5">
      <c r="C29" s="1" t="str">
        <f t="shared" si="0"/>
        <v/>
      </c>
      <c r="D29" s="5" t="str">
        <f>IF(E29="","","VEN-"&amp; TEXT(IF(COUNTIF(E$6:E29,E29)&gt;=1,MATCH(E29,$E$6:$E$1000,0),COUNTA(UNIQUE(E$6:E29))),"000"))</f>
        <v/>
      </c>
    </row>
    <row r="30" spans="3:5">
      <c r="C30" s="1" t="str">
        <f t="shared" si="0"/>
        <v/>
      </c>
      <c r="D30" s="5" t="str">
        <f>IF(E30="","","VEN-"&amp; TEXT(IF(COUNTIF(E$6:E30,E30)&gt;=1,MATCH(E30,$E$6:$E$1000,0),COUNTA(UNIQUE(E$6:E30))),"000"))</f>
        <v/>
      </c>
    </row>
    <row r="31" spans="3:5">
      <c r="C31" s="1" t="str">
        <f t="shared" si="0"/>
        <v/>
      </c>
      <c r="D31" s="5" t="str">
        <f>IF(E31="","","VEN-"&amp; TEXT(IF(COUNTIF(E$6:E31,E31)&gt;=1,MATCH(E31,$E$6:$E$1000,0),COUNTA(UNIQUE(E$6:E31))),"000"))</f>
        <v/>
      </c>
    </row>
    <row r="32" spans="3:5">
      <c r="C32" s="1" t="str">
        <f t="shared" si="0"/>
        <v/>
      </c>
      <c r="D32" s="5" t="str">
        <f>IF(E32="","","VEN-"&amp; TEXT(IF(COUNTIF(E$6:E32,E32)&gt;=1,MATCH(E32,$E$6:$E$1000,0),COUNTA(UNIQUE(E$6:E32))),"000"))</f>
        <v/>
      </c>
    </row>
    <row r="33" spans="3:4">
      <c r="C33" s="1" t="str">
        <f t="shared" si="0"/>
        <v/>
      </c>
      <c r="D33" s="5" t="str">
        <f>IF(E33="","","VEN-"&amp; TEXT(IF(COUNTIF(E$6:E33,E33)&gt;=1,MATCH(E33,$E$6:$E$1000,0),COUNTA(UNIQUE(E$6:E33))),"000"))</f>
        <v/>
      </c>
    </row>
    <row r="34" spans="3:4">
      <c r="C34" s="1" t="str">
        <f t="shared" si="0"/>
        <v/>
      </c>
      <c r="D34" s="5" t="str">
        <f>IF(E34="","","VEN-"&amp; TEXT(IF(COUNTIF(E$6:E34,E34)&gt;=1,MATCH(E34,$E$6:$E$1000,0),COUNTA(UNIQUE(E$6:E34))),"000"))</f>
        <v/>
      </c>
    </row>
    <row r="35" spans="3:4">
      <c r="C35" s="1" t="str">
        <f t="shared" si="0"/>
        <v/>
      </c>
      <c r="D35" s="5" t="str">
        <f>IF(E35="","","VEN-"&amp; TEXT(IF(COUNTIF(E$6:E35,E35)&gt;=1,MATCH(E35,$E$6:$E$1000,0),COUNTA(UNIQUE(E$6:E35))),"000"))</f>
        <v/>
      </c>
    </row>
    <row r="36" spans="3:4">
      <c r="C36" s="1" t="str">
        <f t="shared" si="0"/>
        <v/>
      </c>
      <c r="D36" s="5" t="str">
        <f>IF(E36="","","VEN-"&amp; TEXT(IF(COUNTIF(E$6:E36,E36)&gt;=1,MATCH(E36,$E$6:$E$1000,0),COUNTA(UNIQUE(E$6:E36))),"000"))</f>
        <v/>
      </c>
    </row>
    <row r="37" spans="3:4">
      <c r="C37" s="1" t="str">
        <f t="shared" si="0"/>
        <v/>
      </c>
      <c r="D37" s="5" t="str">
        <f>IF(E37="","","VEN-"&amp; TEXT(IF(COUNTIF(E$6:E37,E37)&gt;=1,MATCH(E37,$E$6:$E$1000,0),COUNTA(UNIQUE(E$6:E37))),"000"))</f>
        <v/>
      </c>
    </row>
    <row r="38" spans="3:4">
      <c r="C38" s="1" t="str">
        <f t="shared" si="0"/>
        <v/>
      </c>
      <c r="D38" s="5" t="str">
        <f>IF(E38="","","VEN-"&amp; TEXT(IF(COUNTIF(E$6:E38,E38)&gt;=1,MATCH(E38,$E$6:$E$1000,0),COUNTA(UNIQUE(E$6:E38))),"000"))</f>
        <v/>
      </c>
    </row>
    <row r="39" spans="3:4">
      <c r="C39" s="1" t="str">
        <f t="shared" si="0"/>
        <v/>
      </c>
      <c r="D39" s="5" t="str">
        <f>IF(E39="","","VEN-"&amp; TEXT(IF(COUNTIF(E$6:E39,E39)&gt;=1,MATCH(E39,$E$6:$E$1000,0),COUNTA(UNIQUE(E$6:E39))),"000"))</f>
        <v/>
      </c>
    </row>
    <row r="40" spans="3:4">
      <c r="C40" s="1" t="str">
        <f t="shared" si="0"/>
        <v/>
      </c>
      <c r="D40" s="5" t="str">
        <f>IF(E40="","","VEN-"&amp; TEXT(IF(COUNTIF(E$6:E40,E40)&gt;=1,MATCH(E40,$E$6:$E$1000,0),COUNTA(UNIQUE(E$6:E40))),"000"))</f>
        <v/>
      </c>
    </row>
    <row r="41" spans="3:4">
      <c r="C41" s="1" t="str">
        <f t="shared" si="0"/>
        <v/>
      </c>
      <c r="D41" s="5" t="str">
        <f>IF(E41="","","VEN-"&amp; TEXT(IF(COUNTIF(E$6:E41,E41)&gt;=1,MATCH(E41,$E$6:$E$1000,0),COUNTA(UNIQUE(E$6:E41))),"000"))</f>
        <v/>
      </c>
    </row>
    <row r="42" spans="3:4">
      <c r="C42" s="1" t="str">
        <f t="shared" si="0"/>
        <v/>
      </c>
      <c r="D42" s="5" t="str">
        <f>IF(E42="","","VEN-"&amp; TEXT(IF(COUNTIF(E$6:E42,E42)&gt;=1,MATCH(E42,$E$6:$E$1000,0),COUNTA(UNIQUE(E$6:E42))),"000"))</f>
        <v/>
      </c>
    </row>
    <row r="43" spans="3:4">
      <c r="C43" s="1" t="str">
        <f t="shared" si="0"/>
        <v/>
      </c>
      <c r="D43" s="5" t="str">
        <f>IF(E43="","","VEN-"&amp; TEXT(IF(COUNTIF(E$6:E43,E43)&gt;=1,MATCH(E43,$E$6:$E$1000,0),COUNTA(UNIQUE(E$6:E43))),"000"))</f>
        <v/>
      </c>
    </row>
    <row r="44" spans="3:4">
      <c r="C44" s="1" t="str">
        <f t="shared" si="0"/>
        <v/>
      </c>
      <c r="D44" s="5" t="str">
        <f>IF(E44="","","VEN-"&amp; TEXT(IF(COUNTIF(E$6:E44,E44)&gt;=1,MATCH(E44,$E$6:$E$1000,0),COUNTA(UNIQUE(E$6:E44))),"000"))</f>
        <v/>
      </c>
    </row>
    <row r="45" spans="3:4">
      <c r="C45" s="1" t="str">
        <f t="shared" si="0"/>
        <v/>
      </c>
      <c r="D45" s="5" t="str">
        <f>IF(E45="","","VEN-"&amp; TEXT(IF(COUNTIF(E$6:E45,E45)&gt;=1,MATCH(E45,$E$6:$E$1000,0),COUNTA(UNIQUE(E$6:E45))),"000"))</f>
        <v/>
      </c>
    </row>
    <row r="46" spans="3:4">
      <c r="C46" s="1" t="str">
        <f t="shared" si="0"/>
        <v/>
      </c>
      <c r="D46" s="5" t="str">
        <f>IF(E46="","","VEN-"&amp; TEXT(IF(COUNTIF(E$6:E46,E46)&gt;=1,MATCH(E46,$E$6:$E$1000,0),COUNTA(UNIQUE(E$6:E46))),"000"))</f>
        <v/>
      </c>
    </row>
    <row r="47" spans="3:4">
      <c r="C47" s="1" t="str">
        <f t="shared" si="0"/>
        <v/>
      </c>
      <c r="D47" s="5" t="str">
        <f>IF(E47="","","VEN-"&amp; TEXT(IF(COUNTIF(E$6:E47,E47)&gt;=1,MATCH(E47,$E$6:$E$1000,0),COUNTA(UNIQUE(E$6:E47))),"000"))</f>
        <v/>
      </c>
    </row>
    <row r="48" spans="3:4">
      <c r="C48" s="1" t="str">
        <f t="shared" si="0"/>
        <v/>
      </c>
      <c r="D48" s="5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5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5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5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5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5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5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5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5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5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5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5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5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5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5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5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5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5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5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5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5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5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5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5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5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5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5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5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5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5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5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5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5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5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5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5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5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5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5" t="str">
        <f>IF(E86="","","VEN-"&amp; TEXT(IF(COUNTIF(E$6:E86,E86)&gt;=1,MATCH(E86,$E$6:$E$1000,0),COUNTA(UNIQUE(E$6:E86))),"000"))</f>
        <v/>
      </c>
    </row>
    <row r="87" spans="3:4">
      <c r="D87" s="5" t="str">
        <f>IF(E87="","","VEN-"&amp; TEXT(IF(COUNTIF(E$6:E87,E87)&gt;=1,MATCH(E87,$E$6:$E$1000,0),COUNTA(UNIQUE(E$6:E87))),"000"))</f>
        <v/>
      </c>
    </row>
    <row r="88" spans="3:4">
      <c r="D88" s="5" t="str">
        <f>IF(E88="","","VEN-"&amp; TEXT(IF(COUNTIF(E$6:E88,E88)&gt;=1,MATCH(E88,$E$6:$E$1000,0),COUNTA(UNIQUE(E$6:E88))),"000"))</f>
        <v/>
      </c>
    </row>
    <row r="89" spans="3:4">
      <c r="D89" s="5" t="str">
        <f>IF(E89="","","VEN-"&amp; TEXT(IF(COUNTIF(E$6:E89,E89)&gt;=1,MATCH(E89,$E$6:$E$1000,0),COUNTA(UNIQUE(E$6:E89))),"000"))</f>
        <v/>
      </c>
    </row>
    <row r="90" spans="3:4">
      <c r="D90" s="5" t="str">
        <f>IF(E90="","","VEN-"&amp; TEXT(IF(COUNTIF(E$6:E90,E90)&gt;=1,MATCH(E90,$E$6:$E$1000,0),COUNTA(UNIQUE(E$6:E90))),"000"))</f>
        <v/>
      </c>
    </row>
    <row r="91" spans="3:4">
      <c r="D91" s="5" t="str">
        <f>IF(E91="","","VEN-"&amp; TEXT(IF(COUNTIF(E$6:E91,E91)&gt;=1,MATCH(E91,$E$6:$E$1000,0),COUNTA(UNIQUE(E$6:E91))),"000"))</f>
        <v/>
      </c>
    </row>
    <row r="92" spans="3:4">
      <c r="D92" s="5" t="str">
        <f>IF(E92="","","VEN-"&amp; TEXT(IF(COUNTIF(E$6:E92,E92)&gt;=1,MATCH(E92,$E$6:$E$1000,0),COUNTA(UNIQUE(E$6:E92))),"000"))</f>
        <v/>
      </c>
    </row>
    <row r="93" spans="3:4">
      <c r="D93" s="5" t="str">
        <f>IF(E93="","","VEN-"&amp; TEXT(IF(COUNTIF(E$6:E93,E93)&gt;=1,MATCH(E93,$E$6:$E$1000,0),COUNTA(UNIQUE(E$6:E93))),"000"))</f>
        <v/>
      </c>
    </row>
    <row r="94" spans="3:4">
      <c r="D94" s="5" t="str">
        <f>IF(E94="","","VEN-"&amp; TEXT(IF(COUNTIF(E$6:E94,E94)&gt;=1,MATCH(E94,$E$6:$E$1000,0),COUNTA(UNIQUE(E$6:E94))),"000"))</f>
        <v/>
      </c>
    </row>
    <row r="95" spans="3:4">
      <c r="D95" s="5" t="str">
        <f>IF(E95="","","VEN-"&amp; TEXT(IF(COUNTIF(E$6:E95,E95)&gt;=1,MATCH(E95,$E$6:$E$1000,0),COUNTA(UNIQUE(E$6:E95))),"000"))</f>
        <v/>
      </c>
    </row>
    <row r="96" spans="3:4">
      <c r="D96" s="5" t="str">
        <f>IF(E96="","","VEN-"&amp; TEXT(IF(COUNTIF(E$6:E96,E96)&gt;=1,MATCH(E96,$E$6:$E$1000,0),COUNTA(UNIQUE(E$6:E96))),"000"))</f>
        <v/>
      </c>
    </row>
    <row r="97" spans="4:4">
      <c r="D97" s="5" t="str">
        <f>IF(E97="","","VEN-"&amp; TEXT(IF(COUNTIF(E$6:E97,E97)&gt;=1,MATCH(E97,$E$6:$E$1000,0),COUNTA(UNIQUE(E$6:E97))),"000"))</f>
        <v/>
      </c>
    </row>
    <row r="98" spans="4:4">
      <c r="D98" s="5" t="str">
        <f>IF(E98="","","VEN-"&amp; TEXT(IF(COUNTIF(E$6:E98,E98)&gt;=1,MATCH(E98,$E$6:$E$1000,0),COUNTA(UNIQUE(E$6:E98))),"000"))</f>
        <v/>
      </c>
    </row>
    <row r="99" spans="4:4">
      <c r="D99" s="5" t="str">
        <f>IF(E99="","","VEN-"&amp; TEXT(IF(COUNTIF(E$6:E99,E99)&gt;=1,MATCH(E99,$E$6:$E$1000,0),COUNTA(UNIQUE(E$6:E99))),"000"))</f>
        <v/>
      </c>
    </row>
    <row r="100" spans="4:4">
      <c r="D100" s="5" t="str">
        <f>IF(E100="","","VEN-"&amp; TEXT(IF(COUNTIF(E$6:E100,E100)&gt;=1,MATCH(E100,$E$6:$E$1000,0),COUNTA(UNIQUE(E$6:E100))),"000"))</f>
        <v/>
      </c>
    </row>
    <row r="101" spans="4:4">
      <c r="D101" s="5" t="str">
        <f>IF(E101="","","VEN-"&amp; TEXT(IF(COUNTIF(E$6:E101,E101)&gt;=1,MATCH(E101,$E$6:$E$1000,0),COUNTA(UNIQUE(E$6:E101))),"000"))</f>
        <v/>
      </c>
    </row>
    <row r="102" spans="4:4">
      <c r="D102" s="5" t="str">
        <f>IF(E102="","","VEN-"&amp; TEXT(IF(COUNTIF(E$6:E102,E102)&gt;=1,MATCH(E102,$E$6:$E$1000,0),COUNTA(UNIQUE(E$6:E102))),"000"))</f>
        <v/>
      </c>
    </row>
    <row r="103" spans="4:4">
      <c r="D103" s="5" t="str">
        <f>IF(E103="","","VEN-"&amp; TEXT(IF(COUNTIF(E$6:E103,E103)&gt;=1,MATCH(E103,$E$6:$E$1000,0),COUNTA(UNIQUE(E$6:E103))),"000"))</f>
        <v/>
      </c>
    </row>
    <row r="104" spans="4:4">
      <c r="D104" s="5" t="str">
        <f>IF(E104="","","VEN-"&amp; TEXT(IF(COUNTIF(E$6:E104,E104)&gt;=1,MATCH(E104,$E$6:$E$1000,0),COUNTA(UNIQUE(E$6:E104))),"000"))</f>
        <v/>
      </c>
    </row>
    <row r="105" spans="4:4">
      <c r="D105" s="5" t="str">
        <f>IF(E105="","","VEN-"&amp; TEXT(IF(COUNTIF(E$6:E105,E105)&gt;=1,MATCH(E105,$E$6:$E$1000,0),COUNTA(UNIQUE(E$6:E105))),"000"))</f>
        <v/>
      </c>
    </row>
    <row r="106" spans="4:4">
      <c r="D106" s="5" t="str">
        <f>IF(E106="","","VEN-"&amp; TEXT(IF(COUNTIF(E$6:E106,E106)&gt;=1,MATCH(E106,$E$6:$E$1000,0),COUNTA(UNIQUE(E$6:E106))),"000"))</f>
        <v/>
      </c>
    </row>
    <row r="107" spans="4:4">
      <c r="D107" s="5" t="str">
        <f>IF(E107="","","VEN-"&amp; TEXT(IF(COUNTIF(E$6:E107,E107)&gt;=1,MATCH(E107,$E$6:$E$1000,0),COUNTA(UNIQUE(E$6:E107))),"000"))</f>
        <v/>
      </c>
    </row>
    <row r="108" spans="4:4">
      <c r="D108" s="5" t="str">
        <f>IF(E108="","","VEN-"&amp; TEXT(IF(COUNTIF(E$6:E108,E108)&gt;=1,MATCH(E108,$E$6:$E$1000,0),COUNTA(UNIQUE(E$6:E108))),"000"))</f>
        <v/>
      </c>
    </row>
    <row r="109" spans="4:4">
      <c r="D109" s="5" t="str">
        <f>IF(E109="","","VEN-"&amp; TEXT(IF(COUNTIF(E$6:E109,E109)&gt;=1,MATCH(E109,$E$6:$E$1000,0),COUNTA(UNIQUE(E$6:E109))),"000"))</f>
        <v/>
      </c>
    </row>
    <row r="110" spans="4:4">
      <c r="D110" s="5" t="str">
        <f>IF(E110="","","VEN-"&amp; TEXT(IF(COUNTIF(E$6:E110,E110)&gt;=1,MATCH(E110,$E$6:$E$1000,0),COUNTA(UNIQUE(E$6:E110))),"000"))</f>
        <v/>
      </c>
    </row>
    <row r="111" spans="4:4">
      <c r="D111" s="5" t="str">
        <f>IF(E111="","","VEN-"&amp; TEXT(IF(COUNTIF(E$6:E111,E111)&gt;=1,MATCH(E111,$E$6:$E$1000,0),COUNTA(UNIQUE(E$6:E111))),"000"))</f>
        <v/>
      </c>
    </row>
    <row r="112" spans="4:4">
      <c r="D112" s="5" t="str">
        <f>IF(E112="","","VEN-"&amp; TEXT(IF(COUNTIF(E$6:E112,E112)&gt;=1,MATCH(E112,$E$6:$E$1000,0),COUNTA(UNIQUE(E$6:E112))),"000"))</f>
        <v/>
      </c>
    </row>
    <row r="113" spans="4:4">
      <c r="D113" s="5" t="str">
        <f>IF(E113="","","VEN-"&amp; TEXT(IF(COUNTIF(E$6:E113,E113)&gt;=1,MATCH(E113,$E$6:$E$1000,0),COUNTA(UNIQUE(E$6:E113))),"000"))</f>
        <v/>
      </c>
    </row>
    <row r="114" spans="4:4">
      <c r="D114" s="5" t="str">
        <f>IF(E114="","","VEN-"&amp; TEXT(IF(COUNTIF(E$6:E114,E114)&gt;=1,MATCH(E114,$E$6:$E$1000,0),COUNTA(UNIQUE(E$6:E114))),"000"))</f>
        <v/>
      </c>
    </row>
    <row r="115" spans="4:4">
      <c r="D115" s="5" t="str">
        <f>IF(E115="","","VEN-"&amp; TEXT(IF(COUNTIF(E$6:E115,E115)&gt;=1,MATCH(E115,$E$6:$E$1000,0),COUNTA(UNIQUE(E$6:E115))),"000"))</f>
        <v/>
      </c>
    </row>
    <row r="116" spans="4:4">
      <c r="D116" s="5" t="str">
        <f>IF(E116="","","VEN-"&amp; TEXT(IF(COUNTIF(E$6:E116,E116)&gt;=1,MATCH(E116,$E$6:$E$1000,0),COUNTA(UNIQUE(E$6:E116))),"000"))</f>
        <v/>
      </c>
    </row>
    <row r="117" spans="4:4">
      <c r="D117" s="5" t="str">
        <f>IF(E117="","","VEN-"&amp; TEXT(IF(COUNTIF(E$6:E117,E117)&gt;=1,MATCH(E117,$E$6:$E$1000,0),COUNTA(UNIQUE(E$6:E117))),"000"))</f>
        <v/>
      </c>
    </row>
    <row r="118" spans="4:4">
      <c r="D118" s="5" t="str">
        <f>IF(E118="","","VEN-"&amp; TEXT(IF(COUNTIF(E$6:E118,E118)&gt;=1,MATCH(E118,$E$6:$E$1000,0),COUNTA(UNIQUE(E$6:E118))),"000"))</f>
        <v/>
      </c>
    </row>
    <row r="119" spans="4:4">
      <c r="D119" s="5" t="str">
        <f>IF(E119="","","VEN-"&amp; TEXT(IF(COUNTIF(E$6:E119,E119)&gt;=1,MATCH(E119,$E$6:$E$1000,0),COUNTA(UNIQUE(E$6:E119))),"000"))</f>
        <v/>
      </c>
    </row>
    <row r="120" spans="4:4">
      <c r="D120" s="5" t="str">
        <f>IF(E120="","","VEN-"&amp; TEXT(IF(COUNTIF(E$6:E120,E120)&gt;=1,MATCH(E120,$E$6:$E$1000,0),COUNTA(UNIQUE(E$6:E120))),"000"))</f>
        <v/>
      </c>
    </row>
    <row r="121" spans="4:4">
      <c r="D121" s="5" t="str">
        <f>IF(E121="","","VEN-"&amp; TEXT(IF(COUNTIF(E$6:E121,E121)&gt;=1,MATCH(E121,$E$6:$E$1000,0),COUNTA(UNIQUE(E$6:E121))),"000"))</f>
        <v/>
      </c>
    </row>
    <row r="122" spans="4:4">
      <c r="D122" s="5" t="str">
        <f>IF(E122="","","VEN-"&amp; TEXT(IF(COUNTIF(E$6:E122,E122)&gt;=1,MATCH(E122,$E$6:$E$1000,0),COUNTA(UNIQUE(E$6:E122))),"000"))</f>
        <v/>
      </c>
    </row>
    <row r="123" spans="4:4">
      <c r="D123" s="5" t="str">
        <f>IF(E123="","","VEN-"&amp; TEXT(IF(COUNTIF(E$6:E123,E123)&gt;=1,MATCH(E123,$E$6:$E$1000,0),COUNTA(UNIQUE(E$6:E123))),"000"))</f>
        <v/>
      </c>
    </row>
    <row r="124" spans="4:4">
      <c r="D124" s="5" t="str">
        <f>IF(E124="","","VEN-"&amp; TEXT(IF(COUNTIF(E$6:E124,E124)&gt;=1,MATCH(E124,$E$6:$E$1000,0),COUNTA(UNIQUE(E$6:E124))),"000"))</f>
        <v/>
      </c>
    </row>
    <row r="125" spans="4:4">
      <c r="D125" s="5" t="str">
        <f>IF(E125="","","VEN-"&amp; TEXT(IF(COUNTIF(E$6:E125,E125)&gt;=1,MATCH(E125,$E$6:$E$1000,0),COUNTA(UNIQUE(E$6:E125))),"000"))</f>
        <v/>
      </c>
    </row>
    <row r="126" spans="4:4">
      <c r="D126" s="5" t="str">
        <f>IF(E126="","","VEN-"&amp; TEXT(IF(COUNTIF(E$6:E126,E126)&gt;=1,MATCH(E126,$E$6:$E$1000,0),COUNTA(UNIQUE(E$6:E126))),"000"))</f>
        <v/>
      </c>
    </row>
    <row r="127" spans="4:4">
      <c r="D127" s="5" t="str">
        <f>IF(E127="","","VEN-"&amp; TEXT(IF(COUNTIF(E$6:E127,E127)&gt;=1,MATCH(E127,$E$6:$E$1000,0),COUNTA(UNIQUE(E$6:E127))),"000"))</f>
        <v/>
      </c>
    </row>
    <row r="128" spans="4:4">
      <c r="D128" s="5" t="str">
        <f>IF(E128="","","VEN-"&amp; TEXT(IF(COUNTIF(E$6:E128,E128)&gt;=1,MATCH(E128,$E$6:$E$1000,0),COUNTA(UNIQUE(E$6:E128))),"000"))</f>
        <v/>
      </c>
    </row>
    <row r="129" spans="4:4">
      <c r="D129" s="5" t="str">
        <f>IF(E129="","","VEN-"&amp; TEXT(IF(COUNTIF(E$6:E129,E129)&gt;=1,MATCH(E129,$E$6:$E$1000,0),COUNTA(UNIQUE(E$6:E129))),"000"))</f>
        <v/>
      </c>
    </row>
    <row r="130" spans="4:4">
      <c r="D130" s="5" t="str">
        <f>IF(E130="","","VEN-"&amp; TEXT(IF(COUNTIF(E$6:E130,E130)&gt;=1,MATCH(E130,$E$6:$E$1000,0),COUNTA(UNIQUE(E$6:E130))),"000"))</f>
        <v/>
      </c>
    </row>
    <row r="131" spans="4:4">
      <c r="D131" s="5" t="str">
        <f>IF(E131="","","VEN-"&amp; TEXT(IF(COUNTIF(E$6:E131,E131)&gt;=1,MATCH(E131,$E$6:$E$1000,0),COUNTA(UNIQUE(E$6:E131))),"000"))</f>
        <v/>
      </c>
    </row>
    <row r="132" spans="4:4">
      <c r="D132" s="5" t="str">
        <f>IF(E132="","","VEN-"&amp; TEXT(IF(COUNTIF(E$6:E132,E132)&gt;=1,MATCH(E132,$E$6:$E$1000,0),COUNTA(UNIQUE(E$6:E132))),"000"))</f>
        <v/>
      </c>
    </row>
    <row r="133" spans="4:4">
      <c r="D133" s="5" t="str">
        <f>IF(E133="","","VEN-"&amp; TEXT(IF(COUNTIF(E$6:E133,E133)&gt;=1,MATCH(E133,$E$6:$E$1000,0),COUNTA(UNIQUE(E$6:E133))),"000"))</f>
        <v/>
      </c>
    </row>
    <row r="134" spans="4:4">
      <c r="D134" s="5" t="str">
        <f>IF(E134="","","VEN-"&amp; TEXT(IF(COUNTIF(E$6:E134,E134)&gt;=1,MATCH(E134,$E$6:$E$1000,0),COUNTA(UNIQUE(E$6:E134))),"000"))</f>
        <v/>
      </c>
    </row>
    <row r="135" spans="4:4">
      <c r="D135" s="5" t="str">
        <f>IF(E135="","","VEN-"&amp; TEXT(IF(COUNTIF(E$6:E135,E135)&gt;=1,MATCH(E135,$E$6:$E$1000,0),COUNTA(UNIQUE(E$6:E135))),"000"))</f>
        <v/>
      </c>
    </row>
    <row r="136" spans="4:4">
      <c r="D136" s="5" t="str">
        <f>IF(E136="","","VEN-"&amp; TEXT(IF(COUNTIF(E$6:E136,E136)&gt;=1,MATCH(E136,$E$6:$E$1000,0),COUNTA(UNIQUE(E$6:E136))),"000"))</f>
        <v/>
      </c>
    </row>
    <row r="137" spans="4:4">
      <c r="D137" s="5" t="str">
        <f>IF(E137="","","VEN-"&amp; TEXT(IF(COUNTIF(E$6:E137,E137)&gt;=1,MATCH(E137,$E$6:$E$1000,0),COUNTA(UNIQUE(E$6:E137))),"000"))</f>
        <v/>
      </c>
    </row>
    <row r="138" spans="4:4">
      <c r="D138" s="5" t="str">
        <f>IF(E138="","","VEN-"&amp; TEXT(IF(COUNTIF(E$6:E138,E138)&gt;=1,MATCH(E138,$E$6:$E$1000,0),COUNTA(UNIQUE(E$6:E138))),"000"))</f>
        <v/>
      </c>
    </row>
    <row r="139" spans="4:4">
      <c r="D139" s="5" t="str">
        <f>IF(E139="","","VEN-"&amp; TEXT(IF(COUNTIF(E$6:E139,E139)&gt;=1,MATCH(E139,$E$6:$E$1000,0),COUNTA(UNIQUE(E$6:E139))),"000"))</f>
        <v/>
      </c>
    </row>
    <row r="140" spans="4:4">
      <c r="D140" s="5" t="str">
        <f>IF(E140="","","VEN-"&amp; TEXT(IF(COUNTIF(E$6:E140,E140)&gt;=1,MATCH(E140,$E$6:$E$1000,0),COUNTA(UNIQUE(E$6:E140))),"000"))</f>
        <v/>
      </c>
    </row>
    <row r="141" spans="4:4">
      <c r="D141" s="5" t="str">
        <f>IF(E141="","","VEN-"&amp; TEXT(IF(COUNTIF(E$6:E141,E141)&gt;=1,MATCH(E141,$E$6:$E$1000,0),COUNTA(UNIQUE(E$6:E141))),"000"))</f>
        <v/>
      </c>
    </row>
    <row r="142" spans="4:4">
      <c r="D142" s="5" t="str">
        <f>IF(E142="","","VEN-"&amp; TEXT(IF(COUNTIF(E$6:E142,E142)&gt;=1,MATCH(E142,$E$6:$E$1000,0),COUNTA(UNIQUE(E$6:E142))),"000"))</f>
        <v/>
      </c>
    </row>
    <row r="143" spans="4:4">
      <c r="D143" s="5" t="str">
        <f>IF(E143="","","VEN-"&amp; TEXT(IF(COUNTIF(E$6:E143,E143)&gt;=1,MATCH(E143,$E$6:$E$1000,0),COUNTA(UNIQUE(E$6:E143))),"000"))</f>
        <v/>
      </c>
    </row>
    <row r="144" spans="4:4">
      <c r="D144" s="5" t="str">
        <f>IF(E144="","","VEN-"&amp; TEXT(IF(COUNTIF(E$6:E144,E144)&gt;=1,MATCH(E144,$E$6:$E$1000,0),COUNTA(UNIQUE(E$6:E144))),"000"))</f>
        <v/>
      </c>
    </row>
    <row r="145" spans="4:4">
      <c r="D145" s="5" t="str">
        <f>IF(E145="","","VEN-"&amp; TEXT(IF(COUNTIF(E$6:E145,E145)&gt;=1,MATCH(E145,$E$6:$E$1000,0),COUNTA(UNIQUE(E$6:E145))),"000"))</f>
        <v/>
      </c>
    </row>
    <row r="146" spans="4:4">
      <c r="D146" s="5" t="str">
        <f>IF(E146="","","VEN-"&amp; TEXT(IF(COUNTIF(E$6:E146,E146)&gt;=1,MATCH(E146,$E$6:$E$1000,0),COUNTA(UNIQUE(E$6:E146))),"000"))</f>
        <v/>
      </c>
    </row>
    <row r="147" spans="4:4">
      <c r="D147" s="5" t="str">
        <f>IF(E147="","","VEN-"&amp; TEXT(IF(COUNTIF(E$6:E147,E147)&gt;=1,MATCH(E147,$E$6:$E$1000,0),COUNTA(UNIQUE(E$6:E147))),"000"))</f>
        <v/>
      </c>
    </row>
    <row r="148" spans="4:4">
      <c r="D148" s="5" t="str">
        <f>IF(E148="","","VEN-"&amp; TEXT(IF(COUNTIF(E$6:E148,E148)&gt;=1,MATCH(E148,$E$6:$E$1000,0),COUNTA(UNIQUE(E$6:E148))),"000"))</f>
        <v/>
      </c>
    </row>
    <row r="149" spans="4:4">
      <c r="D149" s="5" t="str">
        <f>IF(E149="","","VEN-"&amp; TEXT(IF(COUNTIF(E$6:E149,E149)&gt;=1,MATCH(E149,$E$6:$E$1000,0),COUNTA(UNIQUE(E$6:E149))),"000"))</f>
        <v/>
      </c>
    </row>
    <row r="150" spans="4:4">
      <c r="D150" s="5" t="str">
        <f>IF(E150="","","VEN-"&amp; TEXT(IF(COUNTIF(E$6:E150,E150)&gt;=1,MATCH(E150,$E$6:$E$1000,0),COUNTA(UNIQUE(E$6:E150))),"000"))</f>
        <v/>
      </c>
    </row>
    <row r="151" spans="4:4">
      <c r="D151" s="5" t="str">
        <f>IF(E151="","","VEN-"&amp; TEXT(IF(COUNTIF(E$6:E151,E151)&gt;=1,MATCH(E151,$E$6:$E$1000,0),COUNTA(UNIQUE(E$6:E151))),"000"))</f>
        <v/>
      </c>
    </row>
    <row r="152" spans="4:4">
      <c r="D152" s="5" t="str">
        <f>IF(E152="","","VEN-"&amp; TEXT(IF(COUNTIF(E$6:E152,E152)&gt;=1,MATCH(E152,$E$6:$E$1000,0),COUNTA(UNIQUE(E$6:E152))),"000"))</f>
        <v/>
      </c>
    </row>
    <row r="153" spans="4:4">
      <c r="D153" s="5" t="str">
        <f>IF(E153="","","VEN-"&amp; TEXT(IF(COUNTIF(E$6:E153,E153)&gt;=1,MATCH(E153,$E$6:$E$1000,0),COUNTA(UNIQUE(E$6:E153))),"000"))</f>
        <v/>
      </c>
    </row>
    <row r="154" spans="4:4">
      <c r="D154" s="5" t="str">
        <f>IF(E154="","","VEN-"&amp; TEXT(IF(COUNTIF(E$6:E154,E154)&gt;=1,MATCH(E154,$E$6:$E$1000,0),COUNTA(UNIQUE(E$6:E154))),"000"))</f>
        <v/>
      </c>
    </row>
    <row r="155" spans="4:4">
      <c r="D155" s="5" t="str">
        <f>IF(E155="","","VEN-"&amp; TEXT(IF(COUNTIF(E$6:E155,E155)&gt;=1,MATCH(E155,$E$6:$E$1000,0),COUNTA(UNIQUE(E$6:E155))),"000"))</f>
        <v/>
      </c>
    </row>
    <row r="156" spans="4:4">
      <c r="D156" s="5" t="str">
        <f>IF(E156="","","VEN-"&amp; TEXT(IF(COUNTIF(E$6:E156,E156)&gt;=1,MATCH(E156,$E$6:$E$1000,0),COUNTA(UNIQUE(E$6:E156))),"000"))</f>
        <v/>
      </c>
    </row>
    <row r="157" spans="4:4">
      <c r="D157" s="5" t="str">
        <f>IF(E157="","","VEN-"&amp; TEXT(IF(COUNTIF(E$6:E157,E157)&gt;=1,MATCH(E157,$E$6:$E$1000,0),COUNTA(UNIQUE(E$6:E157))),"000"))</f>
        <v/>
      </c>
    </row>
    <row r="158" spans="4:4">
      <c r="D158" s="5" t="str">
        <f>IF(E158="","","VEN-"&amp; TEXT(IF(COUNTIF(E$6:E158,E158)&gt;=1,MATCH(E158,$E$6:$E$1000,0),COUNTA(UNIQUE(E$6:E158))),"000"))</f>
        <v/>
      </c>
    </row>
    <row r="159" spans="4:4">
      <c r="D159" s="5" t="str">
        <f>IF(E159="","","VEN-"&amp; TEXT(IF(COUNTIF(E$6:E159,E159)&gt;=1,MATCH(E159,$E$6:$E$1000,0),COUNTA(UNIQUE(E$6:E159))),"000"))</f>
        <v/>
      </c>
    </row>
    <row r="160" spans="4:4">
      <c r="D160" s="5" t="str">
        <f>IF(E160="","","VEN-"&amp; TEXT(IF(COUNTIF(E$6:E160,E160)&gt;=1,MATCH(E160,$E$6:$E$1000,0),COUNTA(UNIQUE(E$6:E160))),"000"))</f>
        <v/>
      </c>
    </row>
    <row r="161" spans="4:4">
      <c r="D161" s="5" t="str">
        <f>IF(E161="","","VEN-"&amp; TEXT(IF(COUNTIF(E$6:E161,E161)&gt;=1,MATCH(E161,$E$6:$E$1000,0),COUNTA(UNIQUE(E$6:E161))),"000"))</f>
        <v/>
      </c>
    </row>
    <row r="162" spans="4:4">
      <c r="D162" s="5" t="str">
        <f>IF(E162="","","VEN-"&amp; TEXT(IF(COUNTIF(E$6:E162,E162)&gt;=1,MATCH(E162,$E$6:$E$1000,0),COUNTA(UNIQUE(E$6:E162))),"000"))</f>
        <v/>
      </c>
    </row>
    <row r="163" spans="4:4">
      <c r="D163" s="5" t="str">
        <f>IF(E163="","","VEN-"&amp; TEXT(IF(COUNTIF(E$6:E163,E163)&gt;=1,MATCH(E163,$E$6:$E$1000,0),COUNTA(UNIQUE(E$6:E163))),"000"))</f>
        <v/>
      </c>
    </row>
    <row r="164" spans="4:4">
      <c r="D164" s="5" t="str">
        <f>IF(E164="","","VEN-"&amp; TEXT(IF(COUNTIF(E$6:E164,E164)&gt;=1,MATCH(E164,$E$6:$E$1000,0),COUNTA(UNIQUE(E$6:E164))),"000"))</f>
        <v/>
      </c>
    </row>
    <row r="165" spans="4:4">
      <c r="D165" s="5" t="str">
        <f>IF(E165="","","VEN-"&amp; TEXT(IF(COUNTIF(E$6:E165,E165)&gt;=1,MATCH(E165,$E$6:$E$1000,0),COUNTA(UNIQUE(E$6:E165))),"000"))</f>
        <v/>
      </c>
    </row>
    <row r="166" spans="4:4">
      <c r="D166" s="5" t="str">
        <f>IF(E166="","","VEN-"&amp; TEXT(IF(COUNTIF(E$6:E166,E166)&gt;=1,MATCH(E166,$E$6:$E$1000,0),COUNTA(UNIQUE(E$6:E166))),"000"))</f>
        <v/>
      </c>
    </row>
    <row r="167" spans="4:4">
      <c r="D167" s="5" t="str">
        <f>IF(E167="","","VEN-"&amp; TEXT(IF(COUNTIF(E$6:E167,E167)&gt;=1,MATCH(E167,$E$6:$E$1000,0),COUNTA(UNIQUE(E$6:E167))),"000"))</f>
        <v/>
      </c>
    </row>
    <row r="168" spans="4:4">
      <c r="D168" s="5" t="str">
        <f>IF(E168="","","VEN-"&amp; TEXT(IF(COUNTIF(E$6:E168,E168)&gt;=1,MATCH(E168,$E$6:$E$1000,0),COUNTA(UNIQUE(E$6:E168))),"000"))</f>
        <v/>
      </c>
    </row>
    <row r="169" spans="4:4">
      <c r="D169" s="5" t="str">
        <f>IF(E169="","","VEN-"&amp; TEXT(IF(COUNTIF(E$6:E169,E169)&gt;=1,MATCH(E169,$E$6:$E$1000,0),COUNTA(UNIQUE(E$6:E169))),"000"))</f>
        <v/>
      </c>
    </row>
    <row r="170" spans="4:4">
      <c r="D170" s="5" t="str">
        <f>IF(E170="","","VEN-"&amp; TEXT(IF(COUNTIF(E$6:E170,E170)&gt;=1,MATCH(E170,$E$6:$E$1000,0),COUNTA(UNIQUE(E$6:E170))),"000"))</f>
        <v/>
      </c>
    </row>
    <row r="171" spans="4:4">
      <c r="D171" s="5" t="str">
        <f>IF(E171="","","VEN-"&amp; TEXT(IF(COUNTIF(E$6:E171,E171)&gt;=1,MATCH(E171,$E$6:$E$1000,0),COUNTA(UNIQUE(E$6:E171))),"000"))</f>
        <v/>
      </c>
    </row>
    <row r="172" spans="4:4">
      <c r="D172" s="5" t="str">
        <f>IF(E172="","","VEN-"&amp; TEXT(IF(COUNTIF(E$6:E172,E172)&gt;=1,MATCH(E172,$E$6:$E$1000,0),COUNTA(UNIQUE(E$6:E172))),"000"))</f>
        <v/>
      </c>
    </row>
    <row r="173" spans="4:4">
      <c r="D173" s="5" t="str">
        <f>IF(E173="","","VEN-"&amp; TEXT(IF(COUNTIF(E$6:E173,E173)&gt;=1,MATCH(E173,$E$6:$E$1000,0),COUNTA(UNIQUE(E$6:E173))),"000"))</f>
        <v/>
      </c>
    </row>
    <row r="174" spans="4:4">
      <c r="D174" s="5" t="str">
        <f>IF(E174="","","VEN-"&amp; TEXT(IF(COUNTIF(E$6:E174,E174)&gt;=1,MATCH(E174,$E$6:$E$1000,0),COUNTA(UNIQUE(E$6:E174))),"000"))</f>
        <v/>
      </c>
    </row>
    <row r="175" spans="4:4">
      <c r="D175" s="5" t="str">
        <f>IF(E175="","","VEN-"&amp; TEXT(IF(COUNTIF(E$6:E175,E175)&gt;=1,MATCH(E175,$E$6:$E$1000,0),COUNTA(UNIQUE(E$6:E175))),"000"))</f>
        <v/>
      </c>
    </row>
    <row r="176" spans="4:4">
      <c r="D176" s="5" t="str">
        <f>IF(E176="","","VEN-"&amp; TEXT(IF(COUNTIF(E$6:E176,E176)&gt;=1,MATCH(E176,$E$6:$E$1000,0),COUNTA(UNIQUE(E$6:E176))),"000"))</f>
        <v/>
      </c>
    </row>
    <row r="177" spans="4:4">
      <c r="D177" s="5" t="str">
        <f>IF(E177="","","VEN-"&amp; TEXT(IF(COUNTIF(E$6:E177,E177)&gt;=1,MATCH(E177,$E$6:$E$1000,0),COUNTA(UNIQUE(E$6:E177))),"000"))</f>
        <v/>
      </c>
    </row>
    <row r="178" spans="4:4">
      <c r="D178" s="5" t="str">
        <f>IF(E178="","","VEN-"&amp; TEXT(IF(COUNTIF(E$6:E178,E178)&gt;=1,MATCH(E178,$E$6:$E$1000,0),COUNTA(UNIQUE(E$6:E178))),"000"))</f>
        <v/>
      </c>
    </row>
    <row r="179" spans="4:4">
      <c r="D179" s="5" t="str">
        <f>IF(E179="","","VEN-"&amp; TEXT(IF(COUNTIF(E$6:E179,E179)&gt;=1,MATCH(E179,$E$6:$E$1000,0),COUNTA(UNIQUE(E$6:E179))),"000"))</f>
        <v/>
      </c>
    </row>
    <row r="180" spans="4:4">
      <c r="D180" s="5" t="str">
        <f>IF(E180="","","VEN-"&amp; TEXT(IF(COUNTIF(E$6:E180,E180)&gt;=1,MATCH(E180,$E$6:$E$1000,0),COUNTA(UNIQUE(E$6:E180))),"000"))</f>
        <v/>
      </c>
    </row>
    <row r="181" spans="4:4">
      <c r="D181" s="5" t="str">
        <f>IF(E181="","","VEN-"&amp; TEXT(IF(COUNTIF(E$6:E181,E181)&gt;=1,MATCH(E181,$E$6:$E$1000,0),COUNTA(UNIQUE(E$6:E181))),"000"))</f>
        <v/>
      </c>
    </row>
    <row r="182" spans="4:4">
      <c r="D182" s="5" t="str">
        <f>IF(E182="","","VEN-"&amp; TEXT(IF(COUNTIF(E$6:E182,E182)&gt;=1,MATCH(E182,$E$6:$E$1000,0),COUNTA(UNIQUE(E$6:E182))),"000"))</f>
        <v/>
      </c>
    </row>
    <row r="183" spans="4:4">
      <c r="D183" s="5" t="str">
        <f>IF(E183="","","VEN-"&amp; TEXT(IF(COUNTIF(E$6:E183,E183)&gt;=1,MATCH(E183,$E$6:$E$1000,0),COUNTA(UNIQUE(E$6:E183))),"000"))</f>
        <v/>
      </c>
    </row>
    <row r="184" spans="4:4">
      <c r="D184" s="5" t="str">
        <f>IF(E184="","","VEN-"&amp; TEXT(IF(COUNTIF(E$6:E184,E184)&gt;=1,MATCH(E184,$E$6:$E$1000,0),COUNTA(UNIQUE(E$6:E184))),"000"))</f>
        <v/>
      </c>
    </row>
    <row r="185" spans="4:4">
      <c r="D185" s="5" t="str">
        <f>IF(E185="","","VEN-"&amp; TEXT(IF(COUNTIF(E$6:E185,E185)&gt;=1,MATCH(E185,$E$6:$E$1000,0),COUNTA(UNIQUE(E$6:E185))),"000"))</f>
        <v/>
      </c>
    </row>
    <row r="186" spans="4:4">
      <c r="D186" s="5" t="str">
        <f>IF(E186="","","VEN-"&amp; TEXT(IF(COUNTIF(E$6:E186,E186)&gt;=1,MATCH(E186,$E$6:$E$1000,0),COUNTA(UNIQUE(E$6:E186))),"000"))</f>
        <v/>
      </c>
    </row>
    <row r="187" spans="4:4">
      <c r="D187" s="5" t="str">
        <f>IF(E187="","","VEN-"&amp; TEXT(IF(COUNTIF(E$6:E187,E187)&gt;=1,MATCH(E187,$E$6:$E$1000,0),COUNTA(UNIQUE(E$6:E187))),"000"))</f>
        <v/>
      </c>
    </row>
    <row r="188" spans="4:4">
      <c r="D188" s="5" t="str">
        <f>IF(E188="","","VEN-"&amp; TEXT(IF(COUNTIF(E$6:E188,E188)&gt;=1,MATCH(E188,$E$6:$E$1000,0),COUNTA(UNIQUE(E$6:E188))),"000"))</f>
        <v/>
      </c>
    </row>
    <row r="189" spans="4:4">
      <c r="D189" s="5" t="str">
        <f>IF(E189="","","VEN-"&amp; TEXT(IF(COUNTIF(E$6:E189,E189)&gt;=1,MATCH(E189,$E$6:$E$1000,0),COUNTA(UNIQUE(E$6:E189))),"000"))</f>
        <v/>
      </c>
    </row>
    <row r="190" spans="4:4">
      <c r="D190" s="5" t="str">
        <f>IF(E190="","","VEN-"&amp; TEXT(IF(COUNTIF(E$6:E190,E190)&gt;=1,MATCH(E190,$E$6:$E$1000,0),COUNTA(UNIQUE(E$6:E190))),"000"))</f>
        <v/>
      </c>
    </row>
    <row r="191" spans="4:4">
      <c r="D191" s="5" t="str">
        <f>IF(E191="","","VEN-"&amp; TEXT(IF(COUNTIF(E$6:E191,E191)&gt;=1,MATCH(E191,$E$6:$E$1000,0),COUNTA(UNIQUE(E$6:E191))),"000"))</f>
        <v/>
      </c>
    </row>
    <row r="192" spans="4:4">
      <c r="D192" s="5" t="str">
        <f>IF(E192="","","VEN-"&amp; TEXT(IF(COUNTIF(E$6:E192,E192)&gt;=1,MATCH(E192,$E$6:$E$1000,0),COUNTA(UNIQUE(E$6:E192))),"000"))</f>
        <v/>
      </c>
    </row>
    <row r="193" spans="4:4">
      <c r="D193" s="5" t="str">
        <f>IF(E193="","","VEN-"&amp; TEXT(IF(COUNTIF(E$6:E193,E193)&gt;=1,MATCH(E193,$E$6:$E$1000,0),COUNTA(UNIQUE(E$6:E193))),"000"))</f>
        <v/>
      </c>
    </row>
    <row r="194" spans="4:4">
      <c r="D194" s="5" t="str">
        <f>IF(E194="","","VEN-"&amp; TEXT(IF(COUNTIF(E$6:E194,E194)&gt;=1,MATCH(E194,$E$6:$E$1000,0),COUNTA(UNIQUE(E$6:E194))),"000"))</f>
        <v/>
      </c>
    </row>
    <row r="195" spans="4:4">
      <c r="D195" s="5" t="str">
        <f>IF(E195="","","VEN-"&amp; TEXT(IF(COUNTIF(E$6:E195,E195)&gt;=1,MATCH(E195,$E$6:$E$1000,0),COUNTA(UNIQUE(E$6:E195))),"000"))</f>
        <v/>
      </c>
    </row>
    <row r="196" spans="4:4">
      <c r="D196" s="5" t="str">
        <f>IF(E196="","","VEN-"&amp; TEXT(IF(COUNTIF(E$6:E196,E196)&gt;=1,MATCH(E196,$E$6:$E$1000,0),COUNTA(UNIQUE(E$6:E196))),"000"))</f>
        <v/>
      </c>
    </row>
    <row r="197" spans="4:4">
      <c r="D197" s="5" t="str">
        <f>IF(E197="","","VEN-"&amp; TEXT(IF(COUNTIF(E$6:E197,E197)&gt;=1,MATCH(E197,$E$6:$E$1000,0),COUNTA(UNIQUE(E$6:E197))),"000"))</f>
        <v/>
      </c>
    </row>
    <row r="198" spans="4:4">
      <c r="D198" s="5" t="str">
        <f>IF(E198="","","VEN-"&amp; TEXT(IF(COUNTIF(E$6:E198,E198)&gt;=1,MATCH(E198,$E$6:$E$1000,0),COUNTA(UNIQUE(E$6:E198))),"000"))</f>
        <v/>
      </c>
    </row>
    <row r="199" spans="4:4">
      <c r="D199" s="5" t="str">
        <f>IF(E199="","","VEN-"&amp; TEXT(IF(COUNTIF(E$6:E199,E199)&gt;=1,MATCH(E199,$E$6:$E$1000,0),COUNTA(UNIQUE(E$6:E199))),"000"))</f>
        <v/>
      </c>
    </row>
    <row r="200" spans="4:4">
      <c r="D200" s="5" t="str">
        <f>IF(E200="","","VEN-"&amp; TEXT(IF(COUNTIF(E$6:E200,E200)&gt;=1,MATCH(E200,$E$6:$E$1000,0),COUNTA(UNIQUE(E$6:E200))),"000"))</f>
        <v/>
      </c>
    </row>
    <row r="201" spans="4:4">
      <c r="D201" s="5" t="str">
        <f>IF(E201="","","VEN-"&amp; TEXT(IF(COUNTIF(E$6:E201,E201)&gt;=1,MATCH(E201,$E$6:$E$1000,0),COUNTA(UNIQUE(E$6:E201))),"000"))</f>
        <v/>
      </c>
    </row>
    <row r="202" spans="4:4">
      <c r="D202" s="5" t="str">
        <f>IF(E202="","","VEN-"&amp; TEXT(IF(COUNTIF(E$6:E202,E202)&gt;=1,MATCH(E202,$E$6:$E$1000,0),COUNTA(UNIQUE(E$6:E202))),"000"))</f>
        <v/>
      </c>
    </row>
    <row r="203" spans="4:4">
      <c r="D203" s="5" t="str">
        <f>IF(E203="","","VEN-"&amp; TEXT(IF(COUNTIF(E$6:E203,E203)&gt;=1,MATCH(E203,$E$6:$E$1000,0),COUNTA(UNIQUE(E$6:E203))),"000"))</f>
        <v/>
      </c>
    </row>
    <row r="204" spans="4:4">
      <c r="D204" s="5" t="str">
        <f>IF(E204="","","VEN-"&amp; TEXT(IF(COUNTIF(E$6:E204,E204)&gt;=1,MATCH(E204,$E$6:$E$1000,0),COUNTA(UNIQUE(E$6:E204))),"000"))</f>
        <v/>
      </c>
    </row>
    <row r="205" spans="4:4">
      <c r="D205" s="5" t="str">
        <f>IF(E205="","","VEN-"&amp; TEXT(IF(COUNTIF(E$6:E205,E205)&gt;=1,MATCH(E205,$E$6:$E$1000,0),COUNTA(UNIQUE(E$6:E205))),"000"))</f>
        <v/>
      </c>
    </row>
    <row r="206" spans="4:4">
      <c r="D206" s="5" t="str">
        <f>IF(E206="","","VEN-"&amp; TEXT(IF(COUNTIF(E$6:E206,E206)&gt;=1,MATCH(E206,$E$6:$E$1000,0),COUNTA(UNIQUE(E$6:E206))),"000"))</f>
        <v/>
      </c>
    </row>
    <row r="207" spans="4:4">
      <c r="D207" s="5" t="str">
        <f>IF(E207="","","VEN-"&amp; TEXT(IF(COUNTIF(E$6:E207,E207)&gt;=1,MATCH(E207,$E$6:$E$1000,0),COUNTA(UNIQUE(E$6:E207))),"000"))</f>
        <v/>
      </c>
    </row>
    <row r="208" spans="4:4">
      <c r="D208" s="5" t="str">
        <f>IF(E208="","","VEN-"&amp; TEXT(IF(COUNTIF(E$6:E208,E208)&gt;=1,MATCH(E208,$E$6:$E$1000,0),COUNTA(UNIQUE(E$6:E208))),"000"))</f>
        <v/>
      </c>
    </row>
    <row r="209" spans="4:4">
      <c r="D209" s="5" t="str">
        <f>IF(E209="","","VEN-"&amp; TEXT(IF(COUNTIF(E$6:E209,E209)&gt;=1,MATCH(E209,$E$6:$E$1000,0),COUNTA(UNIQUE(E$6:E209))),"000"))</f>
        <v/>
      </c>
    </row>
    <row r="210" spans="4:4">
      <c r="D210" s="5" t="str">
        <f>IF(E210="","","VEN-"&amp; TEXT(IF(COUNTIF(E$6:E210,E210)&gt;=1,MATCH(E210,$E$6:$E$1000,0),COUNTA(UNIQUE(E$6:E210))),"000"))</f>
        <v/>
      </c>
    </row>
    <row r="211" spans="4:4">
      <c r="D211" s="5" t="str">
        <f>IF(E211="","","VEN-"&amp; TEXT(IF(COUNTIF(E$6:E211,E211)&gt;=1,MATCH(E211,$E$6:$E$1000,0),COUNTA(UNIQUE(E$6:E211))),"000"))</f>
        <v/>
      </c>
    </row>
    <row r="212" spans="4:4">
      <c r="D212" s="5" t="str">
        <f>IF(E212="","","VEN-"&amp; TEXT(IF(COUNTIF(E$6:E212,E212)&gt;=1,MATCH(E212,$E$6:$E$1000,0),COUNTA(UNIQUE(E$6:E212))),"000"))</f>
        <v/>
      </c>
    </row>
    <row r="213" spans="4:4">
      <c r="D213" s="5" t="str">
        <f>IF(E213="","","VEN-"&amp; TEXT(IF(COUNTIF(E$6:E213,E213)&gt;=1,MATCH(E213,$E$6:$E$1000,0),COUNTA(UNIQUE(E$6:E213))),"000"))</f>
        <v/>
      </c>
    </row>
    <row r="214" spans="4:4">
      <c r="D214" s="5" t="str">
        <f>IF(E214="","","VEN-"&amp; TEXT(IF(COUNTIF(E$6:E214,E214)&gt;=1,MATCH(E214,$E$6:$E$1000,0),COUNTA(UNIQUE(E$6:E214))),"000"))</f>
        <v/>
      </c>
    </row>
    <row r="215" spans="4:4">
      <c r="D215" s="5" t="str">
        <f>IF(E215="","","VEN-"&amp; TEXT(IF(COUNTIF(E$6:E215,E215)&gt;=1,MATCH(E215,$E$6:$E$1000,0),COUNTA(UNIQUE(E$6:E215))),"000"))</f>
        <v/>
      </c>
    </row>
    <row r="216" spans="4:4">
      <c r="D216" s="5" t="str">
        <f>IF(E216="","","VEN-"&amp; TEXT(IF(COUNTIF(E$6:E216,E216)&gt;=1,MATCH(E216,$E$6:$E$1000,0),COUNTA(UNIQUE(E$6:E216))),"000"))</f>
        <v/>
      </c>
    </row>
    <row r="217" spans="4:4">
      <c r="D217" s="5" t="str">
        <f>IF(E217="","","VEN-"&amp; TEXT(IF(COUNTIF(E$6:E217,E217)&gt;=1,MATCH(E217,$E$6:$E$1000,0),COUNTA(UNIQUE(E$6:E217))),"000"))</f>
        <v/>
      </c>
    </row>
    <row r="218" spans="4:4">
      <c r="D218" s="5" t="str">
        <f>IF(E218="","","VEN-"&amp; TEXT(IF(COUNTIF(E$6:E218,E218)&gt;=1,MATCH(E218,$E$6:$E$1000,0),COUNTA(UNIQUE(E$6:E218))),"000"))</f>
        <v/>
      </c>
    </row>
    <row r="219" spans="4:4">
      <c r="D219" s="5" t="str">
        <f>IF(E219="","","VEN-"&amp; TEXT(IF(COUNTIF(E$6:E219,E219)&gt;=1,MATCH(E219,$E$6:$E$1000,0),COUNTA(UNIQUE(E$6:E219))),"000"))</f>
        <v/>
      </c>
    </row>
    <row r="220" spans="4:4">
      <c r="D220" s="5" t="str">
        <f>IF(E220="","","VEN-"&amp; TEXT(IF(COUNTIF(E$6:E220,E220)&gt;=1,MATCH(E220,$E$6:$E$1000,0),COUNTA(UNIQUE(E$6:E220))),"000"))</f>
        <v/>
      </c>
    </row>
    <row r="221" spans="4:4">
      <c r="D221" s="5" t="str">
        <f>IF(E221="","","VEN-"&amp; TEXT(IF(COUNTIF(E$6:E221,E221)&gt;=1,MATCH(E221,$E$6:$E$1000,0),COUNTA(UNIQUE(E$6:E221))),"000"))</f>
        <v/>
      </c>
    </row>
    <row r="222" spans="4:4">
      <c r="D222" s="5" t="str">
        <f>IF(E222="","","VEN-"&amp; TEXT(IF(COUNTIF(E$6:E222,E222)&gt;=1,MATCH(E222,$E$6:$E$1000,0),COUNTA(UNIQUE(E$6:E222))),"000"))</f>
        <v/>
      </c>
    </row>
    <row r="223" spans="4:4">
      <c r="D223" s="5" t="str">
        <f>IF(E223="","","VEN-"&amp; TEXT(IF(COUNTIF(E$6:E223,E223)&gt;=1,MATCH(E223,$E$6:$E$1000,0),COUNTA(UNIQUE(E$6:E223))),"000"))</f>
        <v/>
      </c>
    </row>
    <row r="224" spans="4:4">
      <c r="D224" s="5" t="str">
        <f>IF(E224="","","VEN-"&amp; TEXT(IF(COUNTIF(E$6:E224,E224)&gt;=1,MATCH(E224,$E$6:$E$1000,0),COUNTA(UNIQUE(E$6:E224))),"000"))</f>
        <v/>
      </c>
    </row>
    <row r="225" spans="4:4">
      <c r="D225" s="5" t="str">
        <f>IF(E225="","","VEN-"&amp; TEXT(IF(COUNTIF(E$6:E225,E225)&gt;=1,MATCH(E225,$E$6:$E$1000,0),COUNTA(UNIQUE(E$6:E225))),"000"))</f>
        <v/>
      </c>
    </row>
    <row r="226" spans="4:4">
      <c r="D226" s="5" t="str">
        <f>IF(E226="","","VEN-"&amp; TEXT(IF(COUNTIF(E$6:E226,E226)&gt;=1,MATCH(E226,$E$6:$E$1000,0),COUNTA(UNIQUE(E$6:E226))),"000"))</f>
        <v/>
      </c>
    </row>
    <row r="227" spans="4:4">
      <c r="D227" s="5" t="str">
        <f>IF(E227="","","VEN-"&amp; TEXT(IF(COUNTIF(E$6:E227,E227)&gt;=1,MATCH(E227,$E$6:$E$1000,0),COUNTA(UNIQUE(E$6:E227))),"000"))</f>
        <v/>
      </c>
    </row>
    <row r="228" spans="4:4">
      <c r="D228" s="5" t="str">
        <f>IF(E228="","","VEN-"&amp; TEXT(IF(COUNTIF(E$6:E228,E228)&gt;=1,MATCH(E228,$E$6:$E$1000,0),COUNTA(UNIQUE(E$6:E228))),"000"))</f>
        <v/>
      </c>
    </row>
    <row r="229" spans="4:4">
      <c r="D229" s="5" t="str">
        <f>IF(E229="","","VEN-"&amp; TEXT(IF(COUNTIF(E$6:E229,E229)&gt;=1,MATCH(E229,$E$6:$E$1000,0),COUNTA(UNIQUE(E$6:E229))),"000"))</f>
        <v/>
      </c>
    </row>
    <row r="230" spans="4:4">
      <c r="D230" s="5" t="str">
        <f>IF(E230="","","VEN-"&amp; TEXT(IF(COUNTIF(E$6:E230,E230)&gt;=1,MATCH(E230,$E$6:$E$1000,0),COUNTA(UNIQUE(E$6:E230))),"000"))</f>
        <v/>
      </c>
    </row>
    <row r="231" spans="4:4">
      <c r="D231" s="5" t="str">
        <f>IF(E231="","","VEN-"&amp; TEXT(IF(COUNTIF(E$6:E231,E231)&gt;=1,MATCH(E231,$E$6:$E$1000,0),COUNTA(UNIQUE(E$6:E231))),"000"))</f>
        <v/>
      </c>
    </row>
    <row r="232" spans="4:4">
      <c r="D232" s="5" t="str">
        <f>IF(E232="","","VEN-"&amp; TEXT(IF(COUNTIF(E$6:E232,E232)&gt;=1,MATCH(E232,$E$6:$E$1000,0),COUNTA(UNIQUE(E$6:E232))),"000"))</f>
        <v/>
      </c>
    </row>
    <row r="233" spans="4:4">
      <c r="D233" s="5" t="str">
        <f>IF(E233="","","VEN-"&amp; TEXT(IF(COUNTIF(E$6:E233,E233)&gt;=1,MATCH(E233,$E$6:$E$1000,0),COUNTA(UNIQUE(E$6:E233))),"000"))</f>
        <v/>
      </c>
    </row>
    <row r="234" spans="4:4">
      <c r="D234" s="5" t="str">
        <f>IF(E234="","","VEN-"&amp; TEXT(IF(COUNTIF(E$6:E234,E234)&gt;=1,MATCH(E234,$E$6:$E$1000,0),COUNTA(UNIQUE(E$6:E234))),"000"))</f>
        <v/>
      </c>
    </row>
    <row r="235" spans="4:4">
      <c r="D235" s="5" t="str">
        <f>IF(E235="","","VEN-"&amp; TEXT(IF(COUNTIF(E$6:E235,E235)&gt;=1,MATCH(E235,$E$6:$E$1000,0),COUNTA(UNIQUE(E$6:E235))),"000"))</f>
        <v/>
      </c>
    </row>
    <row r="236" spans="4:4">
      <c r="D236" s="5" t="str">
        <f>IF(E236="","","VEN-"&amp; TEXT(IF(COUNTIF(E$6:E236,E236)&gt;=1,MATCH(E236,$E$6:$E$1000,0),COUNTA(UNIQUE(E$6:E236))),"000"))</f>
        <v/>
      </c>
    </row>
    <row r="237" spans="4:4">
      <c r="D237" s="5" t="str">
        <f>IF(E237="","","VEN-"&amp; TEXT(IF(COUNTIF(E$6:E237,E237)&gt;=1,MATCH(E237,$E$6:$E$1000,0),COUNTA(UNIQUE(E$6:E237))),"000"))</f>
        <v/>
      </c>
    </row>
    <row r="238" spans="4:4">
      <c r="D238" s="5" t="str">
        <f>IF(E238="","","VEN-"&amp; TEXT(IF(COUNTIF(E$6:E238,E238)&gt;=1,MATCH(E238,$E$6:$E$1000,0),COUNTA(UNIQUE(E$6:E238))),"000"))</f>
        <v/>
      </c>
    </row>
    <row r="239" spans="4:4">
      <c r="D239" s="5" t="str">
        <f>IF(E239="","","VEN-"&amp; TEXT(IF(COUNTIF(E$6:E239,E239)&gt;=1,MATCH(E239,$E$6:$E$1000,0),COUNTA(UNIQUE(E$6:E239))),"000"))</f>
        <v/>
      </c>
    </row>
    <row r="240" spans="4:4">
      <c r="D240" s="5" t="str">
        <f>IF(E240="","","VEN-"&amp; TEXT(IF(COUNTIF(E$6:E240,E240)&gt;=1,MATCH(E240,$E$6:$E$1000,0),COUNTA(UNIQUE(E$6:E240))),"000"))</f>
        <v/>
      </c>
    </row>
    <row r="241" spans="4:4">
      <c r="D241" s="5" t="str">
        <f>IF(E241="","","VEN-"&amp; TEXT(IF(COUNTIF(E$6:E241,E241)&gt;=1,MATCH(E241,$E$6:$E$1000,0),COUNTA(UNIQUE(E$6:E241))),"000"))</f>
        <v/>
      </c>
    </row>
    <row r="242" spans="4:4">
      <c r="D242" s="5" t="str">
        <f>IF(E242="","","VEN-"&amp; TEXT(IF(COUNTIF(E$6:E242,E242)&gt;=1,MATCH(E242,$E$6:$E$1000,0),COUNTA(UNIQUE(E$6:E242))),"000"))</f>
        <v/>
      </c>
    </row>
    <row r="243" spans="4:4">
      <c r="D243" s="5" t="str">
        <f>IF(E243="","","VEN-"&amp; TEXT(IF(COUNTIF(E$6:E243,E243)&gt;=1,MATCH(E243,$E$6:$E$1000,0),COUNTA(UNIQUE(E$6:E243))),"000"))</f>
        <v/>
      </c>
    </row>
    <row r="244" spans="4:4">
      <c r="D244" s="5" t="str">
        <f>IF(E244="","","VEN-"&amp; TEXT(IF(COUNTIF(E$6:E244,E244)&gt;=1,MATCH(E244,$E$6:$E$1000,0),COUNTA(UNIQUE(E$6:E244))),"000"))</f>
        <v/>
      </c>
    </row>
    <row r="245" spans="4:4">
      <c r="D245" s="5" t="str">
        <f>IF(E245="","","VEN-"&amp; TEXT(IF(COUNTIF(E$6:E245,E245)&gt;=1,MATCH(E245,$E$6:$E$1000,0),COUNTA(UNIQUE(E$6:E245))),"000"))</f>
        <v/>
      </c>
    </row>
    <row r="246" spans="4:4">
      <c r="D246" s="5" t="str">
        <f>IF(E246="","","VEN-"&amp; TEXT(IF(COUNTIF(E$6:E246,E246)&gt;=1,MATCH(E246,$E$6:$E$1000,0),COUNTA(UNIQUE(E$6:E246))),"000"))</f>
        <v/>
      </c>
    </row>
    <row r="247" spans="4:4">
      <c r="D247" s="5" t="str">
        <f>IF(E247="","","VEN-"&amp; TEXT(IF(COUNTIF(E$6:E247,E247)&gt;=1,MATCH(E247,$E$6:$E$1000,0),COUNTA(UNIQUE(E$6:E247))),"000"))</f>
        <v/>
      </c>
    </row>
    <row r="248" spans="4:4">
      <c r="D248" s="5" t="str">
        <f>IF(E248="","","VEN-"&amp; TEXT(IF(COUNTIF(E$6:E248,E248)&gt;=1,MATCH(E248,$E$6:$E$1000,0),COUNTA(UNIQUE(E$6:E248))),"000"))</f>
        <v/>
      </c>
    </row>
    <row r="249" spans="4:4">
      <c r="D249" s="5" t="str">
        <f>IF(E249="","","VEN-"&amp; TEXT(IF(COUNTIF(E$6:E249,E249)&gt;=1,MATCH(E249,$E$6:$E$1000,0),COUNTA(UNIQUE(E$6:E249))),"000"))</f>
        <v/>
      </c>
    </row>
    <row r="250" spans="4:4">
      <c r="D250" s="5" t="str">
        <f>IF(E250="","","VEN-"&amp; TEXT(IF(COUNTIF(E$6:E250,E250)&gt;=1,MATCH(E250,$E$6:$E$1000,0),COUNTA(UNIQUE(E$6:E250))),"000"))</f>
        <v/>
      </c>
    </row>
    <row r="251" spans="4:4">
      <c r="D251" s="5" t="str">
        <f>IF(E251="","","VEN-"&amp; TEXT(IF(COUNTIF(E$6:E251,E251)&gt;=1,MATCH(E251,$E$6:$E$1000,0),COUNTA(UNIQUE(E$6:E251))),"000"))</f>
        <v/>
      </c>
    </row>
    <row r="252" spans="4:4">
      <c r="D252" s="5" t="str">
        <f>IF(E252="","","VEN-"&amp; TEXT(IF(COUNTIF(E$6:E252,E252)&gt;=1,MATCH(E252,$E$6:$E$1000,0),COUNTA(UNIQUE(E$6:E252))),"000"))</f>
        <v/>
      </c>
    </row>
    <row r="253" spans="4:4">
      <c r="D253" s="5" t="str">
        <f>IF(E253="","","VEN-"&amp; TEXT(IF(COUNTIF(E$6:E253,E253)&gt;=1,MATCH(E253,$E$6:$E$1000,0),COUNTA(UNIQUE(E$6:E253))),"000"))</f>
        <v/>
      </c>
    </row>
    <row r="254" spans="4:4">
      <c r="D254" s="5" t="str">
        <f>IF(E254="","","VEN-"&amp; TEXT(IF(COUNTIF(E$6:E254,E254)&gt;=1,MATCH(E254,$E$6:$E$1000,0),COUNTA(UNIQUE(E$6:E254))),"000"))</f>
        <v/>
      </c>
    </row>
    <row r="255" spans="4:4">
      <c r="D255" s="5" t="str">
        <f>IF(E255="","","VEN-"&amp; TEXT(IF(COUNTIF(E$6:E255,E255)&gt;=1,MATCH(E255,$E$6:$E$1000,0),COUNTA(UNIQUE(E$6:E255))),"000"))</f>
        <v/>
      </c>
    </row>
    <row r="256" spans="4:4">
      <c r="D256" s="5" t="str">
        <f>IF(E256="","","VEN-"&amp; TEXT(IF(COUNTIF(E$6:E256,E256)&gt;=1,MATCH(E256,$E$6:$E$1000,0),COUNTA(UNIQUE(E$6:E256))),"000"))</f>
        <v/>
      </c>
    </row>
    <row r="257" spans="4:4">
      <c r="D257" s="5" t="str">
        <f>IF(E257="","","VEN-"&amp; TEXT(IF(COUNTIF(E$6:E257,E257)&gt;=1,MATCH(E257,$E$6:$E$1000,0),COUNTA(UNIQUE(E$6:E257))),"000"))</f>
        <v/>
      </c>
    </row>
    <row r="258" spans="4:4">
      <c r="D258" s="5" t="str">
        <f>IF(E258="","","VEN-"&amp; TEXT(IF(COUNTIF(E$6:E258,E258)&gt;=1,MATCH(E258,$E$6:$E$1000,0),COUNTA(UNIQUE(E$6:E258))),"000"))</f>
        <v/>
      </c>
    </row>
    <row r="259" spans="4:4">
      <c r="D259" s="5" t="str">
        <f>IF(E259="","","VEN-"&amp; TEXT(IF(COUNTIF(E$6:E259,E259)&gt;=1,MATCH(E259,$E$6:$E$1000,0),COUNTA(UNIQUE(E$6:E259))),"000"))</f>
        <v/>
      </c>
    </row>
    <row r="260" spans="4:4">
      <c r="D260" s="5" t="str">
        <f>IF(E260="","","VEN-"&amp; TEXT(IF(COUNTIF(E$6:E260,E260)&gt;=1,MATCH(E260,$E$6:$E$1000,0),COUNTA(UNIQUE(E$6:E260))),"000"))</f>
        <v/>
      </c>
    </row>
    <row r="261" spans="4:4">
      <c r="D261" s="5" t="str">
        <f>IF(E261="","","VEN-"&amp; TEXT(IF(COUNTIF(E$6:E261,E261)&gt;=1,MATCH(E261,$E$6:$E$1000,0),COUNTA(UNIQUE(E$6:E261))),"000"))</f>
        <v/>
      </c>
    </row>
    <row r="262" spans="4:4">
      <c r="D262" s="5" t="str">
        <f>IF(E262="","","VEN-"&amp; TEXT(IF(COUNTIF(E$6:E262,E262)&gt;=1,MATCH(E262,$E$6:$E$1000,0),COUNTA(UNIQUE(E$6:E262))),"000"))</f>
        <v/>
      </c>
    </row>
    <row r="263" spans="4:4">
      <c r="D263" s="5" t="str">
        <f>IF(E263="","","VEN-"&amp; TEXT(IF(COUNTIF(E$6:E263,E263)&gt;=1,MATCH(E263,$E$6:$E$1000,0),COUNTA(UNIQUE(E$6:E263))),"000"))</f>
        <v/>
      </c>
    </row>
    <row r="264" spans="4:4">
      <c r="D264" s="5" t="str">
        <f>IF(E264="","","VEN-"&amp; TEXT(IF(COUNTIF(E$6:E264,E264)&gt;=1,MATCH(E264,$E$6:$E$1000,0),COUNTA(UNIQUE(E$6:E264))),"000"))</f>
        <v/>
      </c>
    </row>
    <row r="265" spans="4:4">
      <c r="D265" s="5" t="str">
        <f>IF(E265="","","VEN-"&amp; TEXT(IF(COUNTIF(E$6:E265,E265)&gt;=1,MATCH(E265,$E$6:$E$1000,0),COUNTA(UNIQUE(E$6:E265))),"000"))</f>
        <v/>
      </c>
    </row>
    <row r="266" spans="4:4">
      <c r="D266" s="5" t="str">
        <f>IF(E266="","","VEN-"&amp; TEXT(IF(COUNTIF(E$6:E266,E266)&gt;=1,MATCH(E266,$E$6:$E$1000,0),COUNTA(UNIQUE(E$6:E266))),"000"))</f>
        <v/>
      </c>
    </row>
    <row r="267" spans="4:4">
      <c r="D267" s="5" t="str">
        <f>IF(E267="","","VEN-"&amp; TEXT(IF(COUNTIF(E$6:E267,E267)&gt;=1,MATCH(E267,$E$6:$E$1000,0),COUNTA(UNIQUE(E$6:E267))),"000"))</f>
        <v/>
      </c>
    </row>
    <row r="268" spans="4:4">
      <c r="D268" s="5" t="str">
        <f>IF(E268="","","VEN-"&amp; TEXT(IF(COUNTIF(E$6:E268,E268)&gt;=1,MATCH(E268,$E$6:$E$1000,0),COUNTA(UNIQUE(E$6:E268))),"000"))</f>
        <v/>
      </c>
    </row>
    <row r="269" spans="4:4">
      <c r="D269" s="5" t="str">
        <f>IF(E269="","","VEN-"&amp; TEXT(IF(COUNTIF(E$6:E269,E269)&gt;=1,MATCH(E269,$E$6:$E$1000,0),COUNTA(UNIQUE(E$6:E269))),"000"))</f>
        <v/>
      </c>
    </row>
    <row r="270" spans="4:4">
      <c r="D270" s="5" t="str">
        <f>IF(E270="","","VEN-"&amp; TEXT(IF(COUNTIF(E$6:E270,E270)&gt;=1,MATCH(E270,$E$6:$E$1000,0),COUNTA(UNIQUE(E$6:E270))),"000"))</f>
        <v/>
      </c>
    </row>
    <row r="271" spans="4:4">
      <c r="D271" s="5" t="str">
        <f>IF(E271="","","VEN-"&amp; TEXT(IF(COUNTIF(E$6:E271,E271)&gt;=1,MATCH(E271,$E$6:$E$1000,0),COUNTA(UNIQUE(E$6:E271))),"000"))</f>
        <v/>
      </c>
    </row>
    <row r="272" spans="4:4">
      <c r="D272" s="5" t="str">
        <f>IF(E272="","","VEN-"&amp; TEXT(IF(COUNTIF(E$6:E272,E272)&gt;=1,MATCH(E272,$E$6:$E$1000,0),COUNTA(UNIQUE(E$6:E272))),"000"))</f>
        <v/>
      </c>
    </row>
    <row r="273" spans="4:4">
      <c r="D273" s="5" t="str">
        <f>IF(E273="","","VEN-"&amp; TEXT(IF(COUNTIF(E$6:E273,E273)&gt;=1,MATCH(E273,$E$6:$E$1000,0),COUNTA(UNIQUE(E$6:E273))),"000"))</f>
        <v/>
      </c>
    </row>
    <row r="274" spans="4:4">
      <c r="D274" s="5" t="str">
        <f>IF(E274="","","VEN-"&amp; TEXT(IF(COUNTIF(E$6:E274,E274)&gt;=1,MATCH(E274,$E$6:$E$1000,0),COUNTA(UNIQUE(E$6:E274))),"000"))</f>
        <v/>
      </c>
    </row>
    <row r="275" spans="4:4">
      <c r="D275" s="5" t="str">
        <f>IF(E275="","","VEN-"&amp; TEXT(IF(COUNTIF(E$6:E275,E275)&gt;=1,MATCH(E275,$E$6:$E$1000,0),COUNTA(UNIQUE(E$6:E275))),"000"))</f>
        <v/>
      </c>
    </row>
    <row r="276" spans="4:4">
      <c r="D276" s="5" t="str">
        <f>IF(E276="","","VEN-"&amp; TEXT(IF(COUNTIF(E$6:E276,E276)&gt;=1,MATCH(E276,$E$6:$E$1000,0),COUNTA(UNIQUE(E$6:E276))),"000"))</f>
        <v/>
      </c>
    </row>
    <row r="277" spans="4:4">
      <c r="D277" s="5" t="str">
        <f>IF(E277="","","VEN-"&amp; TEXT(IF(COUNTIF(E$6:E277,E277)&gt;=1,MATCH(E277,$E$6:$E$1000,0),COUNTA(UNIQUE(E$6:E277))),"000"))</f>
        <v/>
      </c>
    </row>
    <row r="278" spans="4:4">
      <c r="D278" s="5" t="str">
        <f>IF(E278="","","VEN-"&amp; TEXT(IF(COUNTIF(E$6:E278,E278)&gt;=1,MATCH(E278,$E$6:$E$1000,0),COUNTA(UNIQUE(E$6:E278))),"000"))</f>
        <v/>
      </c>
    </row>
    <row r="279" spans="4:4">
      <c r="D279" s="5" t="str">
        <f>IF(E279="","","VEN-"&amp; TEXT(IF(COUNTIF(E$6:E279,E279)&gt;=1,MATCH(E279,$E$6:$E$1000,0),COUNTA(UNIQUE(E$6:E279))),"000"))</f>
        <v/>
      </c>
    </row>
    <row r="280" spans="4:4">
      <c r="D280" s="5" t="str">
        <f>IF(E280="","","VEN-"&amp; TEXT(IF(COUNTIF(E$6:E280,E280)&gt;=1,MATCH(E280,$E$6:$E$1000,0),COUNTA(UNIQUE(E$6:E280))),"000"))</f>
        <v/>
      </c>
    </row>
    <row r="281" spans="4:4">
      <c r="D281" s="5" t="str">
        <f>IF(E281="","","VEN-"&amp; TEXT(IF(COUNTIF(E$6:E281,E281)&gt;=1,MATCH(E281,$E$6:$E$1000,0),COUNTA(UNIQUE(E$6:E281))),"000"))</f>
        <v/>
      </c>
    </row>
    <row r="282" spans="4:4">
      <c r="D282" s="5" t="str">
        <f>IF(E282="","","VEN-"&amp; TEXT(IF(COUNTIF(E$6:E282,E282)&gt;=1,MATCH(E282,$E$6:$E$1000,0),COUNTA(UNIQUE(E$6:E282))),"000"))</f>
        <v/>
      </c>
    </row>
    <row r="283" spans="4:4">
      <c r="D283" s="5" t="str">
        <f>IF(E283="","","VEN-"&amp; TEXT(IF(COUNTIF(E$6:E283,E283)&gt;=1,MATCH(E283,$E$6:$E$1000,0),COUNTA(UNIQUE(E$6:E283))),"000"))</f>
        <v/>
      </c>
    </row>
    <row r="284" spans="4:4">
      <c r="D284" s="5" t="str">
        <f>IF(E284="","","VEN-"&amp; TEXT(IF(COUNTIF(E$6:E284,E284)&gt;=1,MATCH(E284,$E$6:$E$1000,0),COUNTA(UNIQUE(E$6:E284))),"000"))</f>
        <v/>
      </c>
    </row>
    <row r="285" spans="4:4">
      <c r="D285" s="5" t="str">
        <f>IF(E285="","","VEN-"&amp; TEXT(IF(COUNTIF(E$6:E285,E285)&gt;=1,MATCH(E285,$E$6:$E$1000,0),COUNTA(UNIQUE(E$6:E285))),"000"))</f>
        <v/>
      </c>
    </row>
    <row r="286" spans="4:4">
      <c r="D286" s="5" t="str">
        <f>IF(E286="","","VEN-"&amp; TEXT(IF(COUNTIF(E$6:E286,E286)&gt;=1,MATCH(E286,$E$6:$E$1000,0),COUNTA(UNIQUE(E$6:E286))),"000"))</f>
        <v/>
      </c>
    </row>
    <row r="287" spans="4:4">
      <c r="D287" s="5" t="str">
        <f>IF(E287="","","VEN-"&amp; TEXT(IF(COUNTIF(E$6:E287,E287)&gt;=1,MATCH(E287,$E$6:$E$1000,0),COUNTA(UNIQUE(E$6:E287))),"000"))</f>
        <v/>
      </c>
    </row>
    <row r="288" spans="4:4">
      <c r="D288" s="5" t="str">
        <f>IF(E288="","","VEN-"&amp; TEXT(IF(COUNTIF(E$6:E288,E288)&gt;=1,MATCH(E288,$E$6:$E$1000,0),COUNTA(UNIQUE(E$6:E288))),"000"))</f>
        <v/>
      </c>
    </row>
    <row r="289" spans="4:4">
      <c r="D289" s="5" t="str">
        <f>IF(E289="","","VEN-"&amp; TEXT(IF(COUNTIF(E$6:E289,E289)&gt;=1,MATCH(E289,$E$6:$E$1000,0),COUNTA(UNIQUE(E$6:E289))),"000"))</f>
        <v/>
      </c>
    </row>
    <row r="290" spans="4:4">
      <c r="D290" s="5" t="str">
        <f>IF(E290="","","VEN-"&amp; TEXT(IF(COUNTIF(E$6:E290,E290)&gt;=1,MATCH(E290,$E$6:$E$1000,0),COUNTA(UNIQUE(E$6:E290))),"000"))</f>
        <v/>
      </c>
    </row>
    <row r="291" spans="4:4">
      <c r="D291" s="5" t="str">
        <f>IF(E291="","","VEN-"&amp; TEXT(IF(COUNTIF(E$6:E291,E291)&gt;=1,MATCH(E291,$E$6:$E$1000,0),COUNTA(UNIQUE(E$6:E291))),"000"))</f>
        <v/>
      </c>
    </row>
    <row r="292" spans="4:4">
      <c r="D292" s="5" t="str">
        <f>IF(E292="","","VEN-"&amp; TEXT(IF(COUNTIF(E$6:E292,E292)&gt;=1,MATCH(E292,$E$6:$E$1000,0),COUNTA(UNIQUE(E$6:E292))),"000"))</f>
        <v/>
      </c>
    </row>
    <row r="293" spans="4:4">
      <c r="D293" s="5" t="str">
        <f>IF(E293="","","VEN-"&amp; TEXT(IF(COUNTIF(E$6:E293,E293)&gt;=1,MATCH(E293,$E$6:$E$1000,0),COUNTA(UNIQUE(E$6:E293))),"000"))</f>
        <v/>
      </c>
    </row>
    <row r="294" spans="4:4">
      <c r="D294" s="5" t="str">
        <f>IF(E294="","","VEN-"&amp; TEXT(IF(COUNTIF(E$6:E294,E294)&gt;=1,MATCH(E294,$E$6:$E$1000,0),COUNTA(UNIQUE(E$6:E294))),"000"))</f>
        <v/>
      </c>
    </row>
    <row r="295" spans="4:4">
      <c r="D295" s="5" t="str">
        <f>IF(E295="","","VEN-"&amp; TEXT(IF(COUNTIF(E$6:E295,E295)&gt;=1,MATCH(E295,$E$6:$E$1000,0),COUNTA(UNIQUE(E$6:E295))),"000"))</f>
        <v/>
      </c>
    </row>
    <row r="296" spans="4:4">
      <c r="D296" s="5" t="str">
        <f>IF(E296="","","VEN-"&amp; TEXT(IF(COUNTIF(E$6:E296,E296)&gt;=1,MATCH(E296,$E$6:$E$1000,0),COUNTA(UNIQUE(E$6:E296))),"000"))</f>
        <v/>
      </c>
    </row>
    <row r="297" spans="4:4">
      <c r="D297" s="5" t="str">
        <f>IF(E297="","","VEN-"&amp; TEXT(IF(COUNTIF(E$6:E297,E297)&gt;=1,MATCH(E297,$E$6:$E$1000,0),COUNTA(UNIQUE(E$6:E297))),"000"))</f>
        <v/>
      </c>
    </row>
    <row r="298" spans="4:4">
      <c r="D298" s="5" t="str">
        <f>IF(E298="","","VEN-"&amp; TEXT(IF(COUNTIF(E$6:E298,E298)&gt;=1,MATCH(E298,$E$6:$E$1000,0),COUNTA(UNIQUE(E$6:E298))),"000"))</f>
        <v/>
      </c>
    </row>
    <row r="299" spans="4:4">
      <c r="D299" s="5" t="str">
        <f>IF(E299="","","VEN-"&amp; TEXT(IF(COUNTIF(E$6:E299,E299)&gt;=1,MATCH(E299,$E$6:$E$1000,0),COUNTA(UNIQUE(E$6:E299))),"000"))</f>
        <v/>
      </c>
    </row>
    <row r="300" spans="4:4">
      <c r="D300" s="5" t="str">
        <f>IF(E300="","","VEN-"&amp; TEXT(IF(COUNTIF(E$6:E300,E300)&gt;=1,MATCH(E300,$E$6:$E$1000,0),COUNTA(UNIQUE(E$6:E300))),"000"))</f>
        <v/>
      </c>
    </row>
    <row r="301" spans="4:4">
      <c r="D301" s="5" t="str">
        <f>IF(E301="","","VEN-"&amp; TEXT(IF(COUNTIF(E$6:E301,E301)&gt;=1,MATCH(E301,$E$6:$E$1000,0),COUNTA(UNIQUE(E$6:E301))),"000"))</f>
        <v/>
      </c>
    </row>
    <row r="302" spans="4:4">
      <c r="D302" s="5" t="str">
        <f>IF(E302="","","VEN-"&amp; TEXT(IF(COUNTIF(E$6:E302,E302)&gt;=1,MATCH(E302,$E$6:$E$1000,0),COUNTA(UNIQUE(E$6:E302))),"000"))</f>
        <v/>
      </c>
    </row>
    <row r="303" spans="4:4">
      <c r="D303" s="5" t="str">
        <f>IF(E303="","","VEN-"&amp; TEXT(IF(COUNTIF(E$6:E303,E303)&gt;=1,MATCH(E303,$E$6:$E$1000,0),COUNTA(UNIQUE(E$6:E303))),"000"))</f>
        <v/>
      </c>
    </row>
    <row r="304" spans="4:4">
      <c r="D304" s="5" t="str">
        <f>IF(E304="","","VEN-"&amp; TEXT(IF(COUNTIF(E$6:E304,E304)&gt;=1,MATCH(E304,$E$6:$E$1000,0),COUNTA(UNIQUE(E$6:E304))),"000"))</f>
        <v/>
      </c>
    </row>
    <row r="305" spans="4:4">
      <c r="D305" s="5" t="str">
        <f>IF(E305="","","VEN-"&amp; TEXT(IF(COUNTIF(E$6:E305,E305)&gt;=1,MATCH(E305,$E$6:$E$1000,0),COUNTA(UNIQUE(E$6:E305))),"000"))</f>
        <v/>
      </c>
    </row>
    <row r="306" spans="4:4">
      <c r="D306" s="5" t="str">
        <f>IF(E306="","","VEN-"&amp; TEXT(IF(COUNTIF(E$6:E306,E306)&gt;=1,MATCH(E306,$E$6:$E$1000,0),COUNTA(UNIQUE(E$6:E306))),"000"))</f>
        <v/>
      </c>
    </row>
    <row r="307" spans="4:4">
      <c r="D307" s="5" t="str">
        <f>IF(E307="","","VEN-"&amp; TEXT(IF(COUNTIF(E$6:E307,E307)&gt;=1,MATCH(E307,$E$6:$E$1000,0),COUNTA(UNIQUE(E$6:E307))),"000"))</f>
        <v/>
      </c>
    </row>
    <row r="308" spans="4:4">
      <c r="D308" s="5" t="str">
        <f>IF(E308="","","VEN-"&amp; TEXT(IF(COUNTIF(E$6:E308,E308)&gt;=1,MATCH(E308,$E$6:$E$1000,0),COUNTA(UNIQUE(E$6:E308))),"000"))</f>
        <v/>
      </c>
    </row>
    <row r="309" spans="4:4">
      <c r="D309" s="5" t="str">
        <f>IF(E309="","","VEN-"&amp; TEXT(IF(COUNTIF(E$6:E309,E309)&gt;=1,MATCH(E309,$E$6:$E$1000,0),COUNTA(UNIQUE(E$6:E309))),"000"))</f>
        <v/>
      </c>
    </row>
    <row r="310" spans="4:4">
      <c r="D310" s="5" t="str">
        <f>IF(E310="","","VEN-"&amp; TEXT(IF(COUNTIF(E$6:E310,E310)&gt;=1,MATCH(E310,$E$6:$E$1000,0),COUNTA(UNIQUE(E$6:E310))),"000"))</f>
        <v/>
      </c>
    </row>
    <row r="311" spans="4:4">
      <c r="D311" s="5" t="str">
        <f>IF(E311="","","VEN-"&amp; TEXT(IF(COUNTIF(E$6:E311,E311)&gt;=1,MATCH(E311,$E$6:$E$1000,0),COUNTA(UNIQUE(E$6:E311))),"000"))</f>
        <v/>
      </c>
    </row>
    <row r="312" spans="4:4">
      <c r="D312" s="5" t="str">
        <f>IF(E312="","","VEN-"&amp; TEXT(IF(COUNTIF(E$6:E312,E312)&gt;=1,MATCH(E312,$E$6:$E$1000,0),COUNTA(UNIQUE(E$6:E312))),"000"))</f>
        <v/>
      </c>
    </row>
    <row r="313" spans="4:4">
      <c r="D313" s="5" t="str">
        <f>IF(E313="","","VEN-"&amp; TEXT(IF(COUNTIF(E$6:E313,E313)&gt;=1,MATCH(E313,$E$6:$E$1000,0),COUNTA(UNIQUE(E$6:E313))),"000"))</f>
        <v/>
      </c>
    </row>
    <row r="314" spans="4:4">
      <c r="D314" s="5" t="str">
        <f>IF(E314="","","VEN-"&amp; TEXT(IF(COUNTIF(E$6:E314,E314)&gt;=1,MATCH(E314,$E$6:$E$1000,0),COUNTA(UNIQUE(E$6:E314))),"000"))</f>
        <v/>
      </c>
    </row>
    <row r="315" spans="4:4">
      <c r="D315" s="5" t="str">
        <f>IF(E315="","","VEN-"&amp; TEXT(IF(COUNTIF(E$6:E315,E315)&gt;=1,MATCH(E315,$E$6:$E$1000,0),COUNTA(UNIQUE(E$6:E315))),"000"))</f>
        <v/>
      </c>
    </row>
    <row r="316" spans="4:4">
      <c r="D316" s="5" t="str">
        <f>IF(E316="","","VEN-"&amp; TEXT(IF(COUNTIF(E$6:E316,E316)&gt;=1,MATCH(E316,$E$6:$E$1000,0),COUNTA(UNIQUE(E$6:E316))),"000"))</f>
        <v/>
      </c>
    </row>
    <row r="317" spans="4:4">
      <c r="D317" s="5" t="str">
        <f>IF(E317="","","VEN-"&amp; TEXT(IF(COUNTIF(E$6:E317,E317)&gt;=1,MATCH(E317,$E$6:$E$1000,0),COUNTA(UNIQUE(E$6:E317))),"000"))</f>
        <v/>
      </c>
    </row>
    <row r="318" spans="4:4">
      <c r="D318" s="5" t="str">
        <f>IF(E318="","","VEN-"&amp; TEXT(IF(COUNTIF(E$6:E318,E318)&gt;=1,MATCH(E318,$E$6:$E$1000,0),COUNTA(UNIQUE(E$6:E318))),"000"))</f>
        <v/>
      </c>
    </row>
    <row r="319" spans="4:4">
      <c r="D319" s="5" t="str">
        <f>IF(E319="","","VEN-"&amp; TEXT(IF(COUNTIF(E$6:E319,E319)&gt;=1,MATCH(E319,$E$6:$E$1000,0),COUNTA(UNIQUE(E$6:E319))),"000"))</f>
        <v/>
      </c>
    </row>
    <row r="320" spans="4:4">
      <c r="D320" s="5" t="str">
        <f>IF(E320="","","VEN-"&amp; TEXT(IF(COUNTIF(E$6:E320,E320)&gt;=1,MATCH(E320,$E$6:$E$1000,0),COUNTA(UNIQUE(E$6:E320))),"000"))</f>
        <v/>
      </c>
    </row>
    <row r="321" spans="4:4">
      <c r="D321" s="5" t="str">
        <f>IF(E321="","","VEN-"&amp; TEXT(IF(COUNTIF(E$6:E321,E321)&gt;=1,MATCH(E321,$E$6:$E$1000,0),COUNTA(UNIQUE(E$6:E321))),"000"))</f>
        <v/>
      </c>
    </row>
    <row r="322" spans="4:4">
      <c r="D322" s="5" t="str">
        <f>IF(E322="","","VEN-"&amp; TEXT(IF(COUNTIF(E$6:E322,E322)&gt;=1,MATCH(E322,$E$6:$E$1000,0),COUNTA(UNIQUE(E$6:E322))),"000"))</f>
        <v/>
      </c>
    </row>
    <row r="323" spans="4:4">
      <c r="D323" s="5" t="str">
        <f>IF(E323="","","VEN-"&amp; TEXT(IF(COUNTIF(E$6:E323,E323)&gt;=1,MATCH(E323,$E$6:$E$1000,0),COUNTA(UNIQUE(E$6:E323))),"000"))</f>
        <v/>
      </c>
    </row>
    <row r="324" spans="4:4">
      <c r="D324" s="5" t="str">
        <f>IF(E324="","","VEN-"&amp; TEXT(IF(COUNTIF(E$6:E324,E324)&gt;=1,MATCH(E324,$E$6:$E$1000,0),COUNTA(UNIQUE(E$6:E324))),"000"))</f>
        <v/>
      </c>
    </row>
    <row r="325" spans="4:4">
      <c r="D325" s="5" t="str">
        <f>IF(E325="","","VEN-"&amp; TEXT(IF(COUNTIF(E$6:E325,E325)&gt;=1,MATCH(E325,$E$6:$E$1000,0),COUNTA(UNIQUE(E$6:E325))),"000"))</f>
        <v/>
      </c>
    </row>
    <row r="326" spans="4:4">
      <c r="D326" s="5" t="str">
        <f>IF(E326="","","VEN-"&amp; TEXT(IF(COUNTIF(E$6:E326,E326)&gt;=1,MATCH(E326,$E$6:$E$1000,0),COUNTA(UNIQUE(E$6:E326))),"000"))</f>
        <v/>
      </c>
    </row>
    <row r="327" spans="4:4">
      <c r="D327" s="5" t="str">
        <f>IF(E327="","","VEN-"&amp; TEXT(IF(COUNTIF(E$6:E327,E327)&gt;=1,MATCH(E327,$E$6:$E$1000,0),COUNTA(UNIQUE(E$6:E327))),"000"))</f>
        <v/>
      </c>
    </row>
    <row r="328" spans="4:4">
      <c r="D328" s="5" t="str">
        <f>IF(E328="","","VEN-"&amp; TEXT(IF(COUNTIF(E$6:E328,E328)&gt;=1,MATCH(E328,$E$6:$E$1000,0),COUNTA(UNIQUE(E$6:E328))),"000"))</f>
        <v/>
      </c>
    </row>
    <row r="329" spans="4:4">
      <c r="D329" s="5" t="str">
        <f>IF(E329="","","VEN-"&amp; TEXT(IF(COUNTIF(E$6:E329,E329)&gt;=1,MATCH(E329,$E$6:$E$1000,0),COUNTA(UNIQUE(E$6:E329))),"000"))</f>
        <v/>
      </c>
    </row>
    <row r="330" spans="4:4">
      <c r="D330" s="5" t="str">
        <f>IF(E330="","","VEN-"&amp; TEXT(IF(COUNTIF(E$6:E330,E330)&gt;=1,MATCH(E330,$E$6:$E$1000,0),COUNTA(UNIQUE(E$6:E330))),"000"))</f>
        <v/>
      </c>
    </row>
    <row r="331" spans="4:4">
      <c r="D331" s="5" t="str">
        <f>IF(E331="","","VEN-"&amp; TEXT(IF(COUNTIF(E$6:E331,E331)&gt;=1,MATCH(E331,$E$6:$E$1000,0),COUNTA(UNIQUE(E$6:E331))),"000"))</f>
        <v/>
      </c>
    </row>
    <row r="332" spans="4:4">
      <c r="D332" s="5" t="str">
        <f>IF(E332="","","VEN-"&amp; TEXT(IF(COUNTIF(E$6:E332,E332)&gt;=1,MATCH(E332,$E$6:$E$1000,0),COUNTA(UNIQUE(E$6:E332))),"000"))</f>
        <v/>
      </c>
    </row>
    <row r="333" spans="4:4">
      <c r="D333" s="5" t="str">
        <f>IF(E333="","","VEN-"&amp; TEXT(IF(COUNTIF(E$6:E333,E333)&gt;=1,MATCH(E333,$E$6:$E$1000,0),COUNTA(UNIQUE(E$6:E333))),"000"))</f>
        <v/>
      </c>
    </row>
    <row r="334" spans="4:4">
      <c r="D334" s="5" t="str">
        <f>IF(E334="","","VEN-"&amp; TEXT(IF(COUNTIF(E$6:E334,E334)&gt;=1,MATCH(E334,$E$6:$E$1000,0),COUNTA(UNIQUE(E$6:E334))),"000"))</f>
        <v/>
      </c>
    </row>
    <row r="335" spans="4:4">
      <c r="D335" s="5" t="str">
        <f>IF(E335="","","VEN-"&amp; TEXT(IF(COUNTIF(E$6:E335,E335)&gt;=1,MATCH(E335,$E$6:$E$1000,0),COUNTA(UNIQUE(E$6:E335))),"000"))</f>
        <v/>
      </c>
    </row>
    <row r="336" spans="4:4">
      <c r="D336" s="5" t="str">
        <f>IF(E336="","","VEN-"&amp; TEXT(IF(COUNTIF(E$6:E336,E336)&gt;=1,MATCH(E336,$E$6:$E$1000,0),COUNTA(UNIQUE(E$6:E336))),"000"))</f>
        <v/>
      </c>
    </row>
    <row r="337" spans="4:4">
      <c r="D337" s="5" t="str">
        <f>IF(E337="","","VEN-"&amp; TEXT(IF(COUNTIF(E$6:E337,E337)&gt;=1,MATCH(E337,$E$6:$E$1000,0),COUNTA(UNIQUE(E$6:E337))),"000"))</f>
        <v/>
      </c>
    </row>
    <row r="338" spans="4:4">
      <c r="D338" s="5" t="str">
        <f>IF(E338="","","VEN-"&amp; TEXT(IF(COUNTIF(E$6:E338,E338)&gt;=1,MATCH(E338,$E$6:$E$1000,0),COUNTA(UNIQUE(E$6:E338))),"000"))</f>
        <v/>
      </c>
    </row>
    <row r="339" spans="4:4">
      <c r="D339" s="5" t="str">
        <f>IF(E339="","","VEN-"&amp; TEXT(IF(COUNTIF(E$6:E339,E339)&gt;=1,MATCH(E339,$E$6:$E$1000,0),COUNTA(UNIQUE(E$6:E339))),"000"))</f>
        <v/>
      </c>
    </row>
    <row r="340" spans="4:4">
      <c r="D340" s="5" t="str">
        <f>IF(E340="","","VEN-"&amp; TEXT(IF(COUNTIF(E$6:E340,E340)&gt;=1,MATCH(E340,$E$6:$E$1000,0),COUNTA(UNIQUE(E$6:E340))),"000"))</f>
        <v/>
      </c>
    </row>
    <row r="341" spans="4:4">
      <c r="D341" s="5" t="str">
        <f>IF(E341="","","VEN-"&amp; TEXT(IF(COUNTIF(E$6:E341,E341)&gt;=1,MATCH(E341,$E$6:$E$1000,0),COUNTA(UNIQUE(E$6:E341))),"000"))</f>
        <v/>
      </c>
    </row>
    <row r="342" spans="4:4">
      <c r="D342" s="5" t="str">
        <f>IF(E342="","","VEN-"&amp; TEXT(IF(COUNTIF(E$6:E342,E342)&gt;=1,MATCH(E342,$E$6:$E$1000,0),COUNTA(UNIQUE(E$6:E342))),"000"))</f>
        <v/>
      </c>
    </row>
    <row r="343" spans="4:4">
      <c r="D343" s="5" t="str">
        <f>IF(E343="","","VEN-"&amp; TEXT(IF(COUNTIF(E$6:E343,E343)&gt;=1,MATCH(E343,$E$6:$E$1000,0),COUNTA(UNIQUE(E$6:E343))),"000"))</f>
        <v/>
      </c>
    </row>
    <row r="344" spans="4:4">
      <c r="D344" s="5" t="str">
        <f>IF(E344="","","VEN-"&amp; TEXT(IF(COUNTIF(E$6:E344,E344)&gt;=1,MATCH(E344,$E$6:$E$1000,0),COUNTA(UNIQUE(E$6:E344))),"000"))</f>
        <v/>
      </c>
    </row>
    <row r="345" spans="4:4">
      <c r="D345" s="5" t="str">
        <f>IF(E345="","","VEN-"&amp; TEXT(IF(COUNTIF(E$6:E345,E345)&gt;=1,MATCH(E345,$E$6:$E$1000,0),COUNTA(UNIQUE(E$6:E345))),"000"))</f>
        <v/>
      </c>
    </row>
    <row r="346" spans="4:4">
      <c r="D346" s="5" t="str">
        <f>IF(E346="","","VEN-"&amp; TEXT(IF(COUNTIF(E$6:E346,E346)&gt;=1,MATCH(E346,$E$6:$E$1000,0),COUNTA(UNIQUE(E$6:E346))),"000"))</f>
        <v/>
      </c>
    </row>
    <row r="347" spans="4:4">
      <c r="D347" s="5" t="str">
        <f>IF(E347="","","VEN-"&amp; TEXT(IF(COUNTIF(E$6:E347,E347)&gt;=1,MATCH(E347,$E$6:$E$1000,0),COUNTA(UNIQUE(E$6:E347))),"000"))</f>
        <v/>
      </c>
    </row>
    <row r="348" spans="4:4">
      <c r="D348" s="5" t="str">
        <f>IF(E348="","","VEN-"&amp; TEXT(IF(COUNTIF(E$6:E348,E348)&gt;=1,MATCH(E348,$E$6:$E$1000,0),COUNTA(UNIQUE(E$6:E348))),"000"))</f>
        <v/>
      </c>
    </row>
    <row r="349" spans="4:4">
      <c r="D349" s="5" t="str">
        <f>IF(E349="","","VEN-"&amp; TEXT(IF(COUNTIF(E$6:E349,E349)&gt;=1,MATCH(E349,$E$6:$E$1000,0),COUNTA(UNIQUE(E$6:E349))),"000"))</f>
        <v/>
      </c>
    </row>
    <row r="350" spans="4:4">
      <c r="D350" s="5" t="str">
        <f>IF(E350="","","VEN-"&amp; TEXT(IF(COUNTIF(E$6:E350,E350)&gt;=1,MATCH(E350,$E$6:$E$1000,0),COUNTA(UNIQUE(E$6:E350))),"000"))</f>
        <v/>
      </c>
    </row>
    <row r="351" spans="4:4">
      <c r="D351" s="5" t="str">
        <f>IF(E351="","","VEN-"&amp; TEXT(IF(COUNTIF(E$6:E351,E351)&gt;=1,MATCH(E351,$E$6:$E$1000,0),COUNTA(UNIQUE(E$6:E351))),"000"))</f>
        <v/>
      </c>
    </row>
    <row r="352" spans="4:4">
      <c r="D352" s="5" t="str">
        <f>IF(E352="","","VEN-"&amp; TEXT(IF(COUNTIF(E$6:E352,E352)&gt;=1,MATCH(E352,$E$6:$E$1000,0),COUNTA(UNIQUE(E$6:E352))),"000"))</f>
        <v/>
      </c>
    </row>
    <row r="353" spans="4:4">
      <c r="D353" s="5" t="str">
        <f>IF(E353="","","VEN-"&amp; TEXT(IF(COUNTIF(E$6:E353,E353)&gt;=1,MATCH(E353,$E$6:$E$1000,0),COUNTA(UNIQUE(E$6:E353))),"000"))</f>
        <v/>
      </c>
    </row>
    <row r="354" spans="4:4">
      <c r="D354" s="5" t="str">
        <f>IF(E354="","","VEN-"&amp; TEXT(IF(COUNTIF(E$6:E354,E354)&gt;=1,MATCH(E354,$E$6:$E$1000,0),COUNTA(UNIQUE(E$6:E354))),"000"))</f>
        <v/>
      </c>
    </row>
    <row r="355" spans="4:4">
      <c r="D355" s="5" t="str">
        <f>IF(E355="","","VEN-"&amp; TEXT(IF(COUNTIF(E$6:E355,E355)&gt;=1,MATCH(E355,$E$6:$E$1000,0),COUNTA(UNIQUE(E$6:E355))),"000"))</f>
        <v/>
      </c>
    </row>
    <row r="356" spans="4:4">
      <c r="D356" s="5" t="str">
        <f>IF(E356="","","VEN-"&amp; TEXT(IF(COUNTIF(E$6:E356,E356)&gt;=1,MATCH(E356,$E$6:$E$1000,0),COUNTA(UNIQUE(E$6:E356))),"000"))</f>
        <v/>
      </c>
    </row>
    <row r="357" spans="4:4">
      <c r="D357" s="5" t="str">
        <f>IF(E357="","","VEN-"&amp; TEXT(IF(COUNTIF(E$6:E357,E357)&gt;=1,MATCH(E357,$E$6:$E$1000,0),COUNTA(UNIQUE(E$6:E357))),"000"))</f>
        <v/>
      </c>
    </row>
    <row r="358" spans="4:4">
      <c r="D358" s="5" t="str">
        <f>IF(E358="","","VEN-"&amp; TEXT(IF(COUNTIF(E$6:E358,E358)&gt;=1,MATCH(E358,$E$6:$E$1000,0),COUNTA(UNIQUE(E$6:E358))),"000"))</f>
        <v/>
      </c>
    </row>
    <row r="359" spans="4:4">
      <c r="D359" s="5" t="str">
        <f>IF(E359="","","VEN-"&amp; TEXT(IF(COUNTIF(E$6:E359,E359)&gt;=1,MATCH(E359,$E$6:$E$1000,0),COUNTA(UNIQUE(E$6:E359))),"000"))</f>
        <v/>
      </c>
    </row>
    <row r="360" spans="4:4">
      <c r="D360" s="5" t="str">
        <f>IF(E360="","","VEN-"&amp; TEXT(IF(COUNTIF(E$6:E360,E360)&gt;=1,MATCH(E360,$E$6:$E$1000,0),COUNTA(UNIQUE(E$6:E360))),"000"))</f>
        <v/>
      </c>
    </row>
    <row r="361" spans="4:4">
      <c r="D361" s="5" t="str">
        <f>IF(E361="","","VEN-"&amp; TEXT(IF(COUNTIF(E$6:E361,E361)&gt;=1,MATCH(E361,$E$6:$E$1000,0),COUNTA(UNIQUE(E$6:E361))),"000"))</f>
        <v/>
      </c>
    </row>
    <row r="362" spans="4:4">
      <c r="D362" s="5" t="str">
        <f>IF(E362="","","VEN-"&amp; TEXT(IF(COUNTIF(E$6:E362,E362)&gt;=1,MATCH(E362,$E$6:$E$1000,0),COUNTA(UNIQUE(E$6:E362))),"000"))</f>
        <v/>
      </c>
    </row>
    <row r="363" spans="4:4">
      <c r="D363" s="5" t="str">
        <f>IF(E363="","","VEN-"&amp; TEXT(IF(COUNTIF(E$6:E363,E363)&gt;=1,MATCH(E363,$E$6:$E$1000,0),COUNTA(UNIQUE(E$6:E363))),"000"))</f>
        <v/>
      </c>
    </row>
    <row r="364" spans="4:4">
      <c r="D364" s="5" t="str">
        <f>IF(E364="","","VEN-"&amp; TEXT(IF(COUNTIF(E$6:E364,E364)&gt;=1,MATCH(E364,$E$6:$E$1000,0),COUNTA(UNIQUE(E$6:E364))),"000"))</f>
        <v/>
      </c>
    </row>
    <row r="365" spans="4:4">
      <c r="D365" s="5" t="str">
        <f>IF(E365="","","VEN-"&amp; TEXT(IF(COUNTIF(E$6:E365,E365)&gt;=1,MATCH(E365,$E$6:$E$1000,0),COUNTA(UNIQUE(E$6:E365))),"000"))</f>
        <v/>
      </c>
    </row>
    <row r="366" spans="4:4">
      <c r="D366" s="5" t="str">
        <f>IF(E366="","","VEN-"&amp; TEXT(IF(COUNTIF(E$6:E366,E366)&gt;=1,MATCH(E366,$E$6:$E$1000,0),COUNTA(UNIQUE(E$6:E366))),"000"))</f>
        <v/>
      </c>
    </row>
    <row r="367" spans="4:4">
      <c r="D367" s="5" t="str">
        <f>IF(E367="","","VEN-"&amp; TEXT(IF(COUNTIF(E$6:E367,E367)&gt;=1,MATCH(E367,$E$6:$E$1000,0),COUNTA(UNIQUE(E$6:E367))),"000"))</f>
        <v/>
      </c>
    </row>
    <row r="368" spans="4:4">
      <c r="D368" s="5" t="str">
        <f>IF(E368="","","VEN-"&amp; TEXT(IF(COUNTIF(E$6:E368,E368)&gt;=1,MATCH(E368,$E$6:$E$1000,0),COUNTA(UNIQUE(E$6:E368))),"000"))</f>
        <v/>
      </c>
    </row>
    <row r="369" spans="4:4">
      <c r="D369" s="5" t="str">
        <f>IF(E369="","","VEN-"&amp; TEXT(IF(COUNTIF(E$6:E369,E369)&gt;=1,MATCH(E369,$E$6:$E$1000,0),COUNTA(UNIQUE(E$6:E369))),"000"))</f>
        <v/>
      </c>
    </row>
    <row r="370" spans="4:4">
      <c r="D370" s="5" t="str">
        <f>IF(E370="","","VEN-"&amp; TEXT(IF(COUNTIF(E$6:E370,E370)&gt;=1,MATCH(E370,$E$6:$E$1000,0),COUNTA(UNIQUE(E$6:E370))),"000"))</f>
        <v/>
      </c>
    </row>
    <row r="371" spans="4:4">
      <c r="D371" s="5" t="str">
        <f>IF(E371="","","VEN-"&amp; TEXT(IF(COUNTIF(E$6:E371,E371)&gt;=1,MATCH(E371,$E$6:$E$1000,0),COUNTA(UNIQUE(E$6:E371))),"000"))</f>
        <v/>
      </c>
    </row>
    <row r="372" spans="4:4">
      <c r="D372" s="5" t="str">
        <f>IF(E372="","","VEN-"&amp; TEXT(IF(COUNTIF(E$6:E372,E372)&gt;=1,MATCH(E372,$E$6:$E$1000,0),COUNTA(UNIQUE(E$6:E372))),"000"))</f>
        <v/>
      </c>
    </row>
    <row r="373" spans="4:4">
      <c r="D373" s="5" t="str">
        <f>IF(E373="","","VEN-"&amp; TEXT(IF(COUNTIF(E$6:E373,E373)&gt;=1,MATCH(E373,$E$6:$E$1000,0),COUNTA(UNIQUE(E$6:E373))),"000"))</f>
        <v/>
      </c>
    </row>
    <row r="374" spans="4:4">
      <c r="D374" s="5" t="str">
        <f>IF(E374="","","VEN-"&amp; TEXT(IF(COUNTIF(E$6:E374,E374)&gt;=1,MATCH(E374,$E$6:$E$1000,0),COUNTA(UNIQUE(E$6:E374))),"000"))</f>
        <v/>
      </c>
    </row>
    <row r="375" spans="4:4">
      <c r="D375" s="5" t="str">
        <f>IF(E375="","","VEN-"&amp; TEXT(IF(COUNTIF(E$6:E375,E375)&gt;=1,MATCH(E375,$E$6:$E$1000,0),COUNTA(UNIQUE(E$6:E375))),"000"))</f>
        <v/>
      </c>
    </row>
    <row r="376" spans="4:4">
      <c r="D376" s="5" t="str">
        <f>IF(E376="","","VEN-"&amp; TEXT(IF(COUNTIF(E$6:E376,E376)&gt;=1,MATCH(E376,$E$6:$E$1000,0),COUNTA(UNIQUE(E$6:E376))),"000"))</f>
        <v/>
      </c>
    </row>
    <row r="377" spans="4:4">
      <c r="D377" s="5" t="str">
        <f>IF(E377="","","VEN-"&amp; TEXT(IF(COUNTIF(E$6:E377,E377)&gt;=1,MATCH(E377,$E$6:$E$1000,0),COUNTA(UNIQUE(E$6:E377))),"000"))</f>
        <v/>
      </c>
    </row>
    <row r="378" spans="4:4">
      <c r="D378" s="5" t="str">
        <f>IF(E378="","","VEN-"&amp; TEXT(IF(COUNTIF(E$6:E378,E378)&gt;=1,MATCH(E378,$E$6:$E$1000,0),COUNTA(UNIQUE(E$6:E378))),"000"))</f>
        <v/>
      </c>
    </row>
    <row r="379" spans="4:4">
      <c r="D379" s="5" t="str">
        <f>IF(E379="","","VEN-"&amp; TEXT(IF(COUNTIF(E$6:E379,E379)&gt;=1,MATCH(E379,$E$6:$E$1000,0),COUNTA(UNIQUE(E$6:E379))),"000"))</f>
        <v/>
      </c>
    </row>
    <row r="380" spans="4:4">
      <c r="D380" s="5" t="str">
        <f>IF(E380="","","VEN-"&amp; TEXT(IF(COUNTIF(E$6:E380,E380)&gt;=1,MATCH(E380,$E$6:$E$1000,0),COUNTA(UNIQUE(E$6:E380))),"000"))</f>
        <v/>
      </c>
    </row>
    <row r="381" spans="4:4">
      <c r="D381" s="5" t="str">
        <f>IF(E381="","","VEN-"&amp; TEXT(IF(COUNTIF(E$6:E381,E381)&gt;=1,MATCH(E381,$E$6:$E$1000,0),COUNTA(UNIQUE(E$6:E381))),"000"))</f>
        <v/>
      </c>
    </row>
    <row r="382" spans="4:4">
      <c r="D382" s="5" t="str">
        <f>IF(E382="","","VEN-"&amp; TEXT(IF(COUNTIF(E$6:E382,E382)&gt;=1,MATCH(E382,$E$6:$E$1000,0),COUNTA(UNIQUE(E$6:E382))),"000"))</f>
        <v/>
      </c>
    </row>
    <row r="383" spans="4:4">
      <c r="D383" s="5" t="str">
        <f>IF(E383="","","VEN-"&amp; TEXT(IF(COUNTIF(E$6:E383,E383)&gt;=1,MATCH(E383,$E$6:$E$1000,0),COUNTA(UNIQUE(E$6:E383))),"000"))</f>
        <v/>
      </c>
    </row>
    <row r="384" spans="4:4">
      <c r="D384" s="5" t="str">
        <f>IF(E384="","","VEN-"&amp; TEXT(IF(COUNTIF(E$6:E384,E384)&gt;=1,MATCH(E384,$E$6:$E$1000,0),COUNTA(UNIQUE(E$6:E384))),"000"))</f>
        <v/>
      </c>
    </row>
    <row r="385" spans="4:4">
      <c r="D385" s="5" t="str">
        <f>IF(E385="","","VEN-"&amp; TEXT(IF(COUNTIF(E$6:E385,E385)&gt;=1,MATCH(E385,$E$6:$E$1000,0),COUNTA(UNIQUE(E$6:E385))),"000"))</f>
        <v/>
      </c>
    </row>
    <row r="386" spans="4:4">
      <c r="D386" s="5" t="str">
        <f>IF(E386="","","VEN-"&amp; TEXT(IF(COUNTIF(E$6:E386,E386)&gt;=1,MATCH(E386,$E$6:$E$1000,0),COUNTA(UNIQUE(E$6:E386))),"000"))</f>
        <v/>
      </c>
    </row>
    <row r="387" spans="4:4">
      <c r="D387" s="5" t="str">
        <f>IF(E387="","","VEN-"&amp; TEXT(IF(COUNTIF(E$6:E387,E387)&gt;=1,MATCH(E387,$E$6:$E$1000,0),COUNTA(UNIQUE(E$6:E387))),"000"))</f>
        <v/>
      </c>
    </row>
    <row r="388" spans="4:4">
      <c r="D388" s="5" t="str">
        <f>IF(E388="","","VEN-"&amp; TEXT(IF(COUNTIF(E$6:E388,E388)&gt;=1,MATCH(E388,$E$6:$E$1000,0),COUNTA(UNIQUE(E$6:E388))),"000"))</f>
        <v/>
      </c>
    </row>
    <row r="389" spans="4:4">
      <c r="D389" s="5" t="str">
        <f>IF(E389="","","VEN-"&amp; TEXT(IF(COUNTIF(E$6:E389,E389)&gt;=1,MATCH(E389,$E$6:$E$1000,0),COUNTA(UNIQUE(E$6:E389))),"000"))</f>
        <v/>
      </c>
    </row>
    <row r="390" spans="4:4">
      <c r="D390" s="5" t="str">
        <f>IF(E390="","","VEN-"&amp; TEXT(IF(COUNTIF(E$6:E390,E390)&gt;=1,MATCH(E390,$E$6:$E$1000,0),COUNTA(UNIQUE(E$6:E390))),"000"))</f>
        <v/>
      </c>
    </row>
    <row r="391" spans="4:4">
      <c r="D391" s="5" t="str">
        <f>IF(E391="","","VEN-"&amp; TEXT(IF(COUNTIF(E$6:E391,E391)&gt;=1,MATCH(E391,$E$6:$E$1000,0),COUNTA(UNIQUE(E$6:E391))),"000"))</f>
        <v/>
      </c>
    </row>
    <row r="392" spans="4:4">
      <c r="D392" s="5" t="str">
        <f>IF(E392="","","VEN-"&amp; TEXT(IF(COUNTIF(E$6:E392,E392)&gt;=1,MATCH(E392,$E$6:$E$1000,0),COUNTA(UNIQUE(E$6:E392))),"000"))</f>
        <v/>
      </c>
    </row>
    <row r="393" spans="4:4">
      <c r="D393" s="5" t="str">
        <f>IF(E393="","","VEN-"&amp; TEXT(IF(COUNTIF(E$6:E393,E393)&gt;=1,MATCH(E393,$E$6:$E$1000,0),COUNTA(UNIQUE(E$6:E393))),"000"))</f>
        <v/>
      </c>
    </row>
    <row r="394" spans="4:4">
      <c r="D394" s="5" t="str">
        <f>IF(E394="","","VEN-"&amp; TEXT(IF(COUNTIF(E$6:E394,E394)&gt;=1,MATCH(E394,$E$6:$E$1000,0),COUNTA(UNIQUE(E$6:E394))),"000"))</f>
        <v/>
      </c>
    </row>
    <row r="395" spans="4:4">
      <c r="D395" s="5" t="str">
        <f>IF(E395="","","VEN-"&amp; TEXT(IF(COUNTIF(E$6:E395,E395)&gt;=1,MATCH(E395,$E$6:$E$1000,0),COUNTA(UNIQUE(E$6:E395))),"000"))</f>
        <v/>
      </c>
    </row>
    <row r="396" spans="4:4">
      <c r="D396" s="5" t="str">
        <f>IF(E396="","","VEN-"&amp; TEXT(IF(COUNTIF(E$6:E396,E396)&gt;=1,MATCH(E396,$E$6:$E$1000,0),COUNTA(UNIQUE(E$6:E396))),"000"))</f>
        <v/>
      </c>
    </row>
    <row r="397" spans="4:4">
      <c r="D397" s="5" t="str">
        <f>IF(E397="","","VEN-"&amp; TEXT(IF(COUNTIF(E$6:E397,E397)&gt;=1,MATCH(E397,$E$6:$E$1000,0),COUNTA(UNIQUE(E$6:E397))),"000"))</f>
        <v/>
      </c>
    </row>
    <row r="398" spans="4:4">
      <c r="D398" s="5" t="str">
        <f>IF(E398="","","VEN-"&amp; TEXT(IF(COUNTIF(E$6:E398,E398)&gt;=1,MATCH(E398,$E$6:$E$1000,0),COUNTA(UNIQUE(E$6:E398))),"000"))</f>
        <v/>
      </c>
    </row>
    <row r="399" spans="4:4">
      <c r="D399" s="5" t="str">
        <f>IF(E399="","","VEN-"&amp; TEXT(IF(COUNTIF(E$6:E399,E399)&gt;=1,MATCH(E399,$E$6:$E$1000,0),COUNTA(UNIQUE(E$6:E399))),"000"))</f>
        <v/>
      </c>
    </row>
    <row r="400" spans="4:4">
      <c r="D400" s="5" t="str">
        <f>IF(E400="","","VEN-"&amp; TEXT(IF(COUNTIF(E$6:E400,E400)&gt;=1,MATCH(E400,$E$6:$E$1000,0),COUNTA(UNIQUE(E$6:E400))),"000"))</f>
        <v/>
      </c>
    </row>
    <row r="401" spans="4:4">
      <c r="D401" s="5" t="str">
        <f>IF(E401="","","VEN-"&amp; TEXT(IF(COUNTIF(E$6:E401,E401)&gt;=1,MATCH(E401,$E$6:$E$1000,0),COUNTA(UNIQUE(E$6:E401))),"000"))</f>
        <v/>
      </c>
    </row>
    <row r="402" spans="4:4">
      <c r="D402" s="5" t="str">
        <f>IF(E402="","","VEN-"&amp; TEXT(IF(COUNTIF(E$6:E402,E402)&gt;=1,MATCH(E402,$E$6:$E$1000,0),COUNTA(UNIQUE(E$6:E402))),"000"))</f>
        <v/>
      </c>
    </row>
    <row r="403" spans="4:4">
      <c r="D403" s="5" t="str">
        <f>IF(E403="","","VEN-"&amp; TEXT(IF(COUNTIF(E$6:E403,E403)&gt;=1,MATCH(E403,$E$6:$E$1000,0),COUNTA(UNIQUE(E$6:E403))),"000"))</f>
        <v/>
      </c>
    </row>
    <row r="404" spans="4:4">
      <c r="D404" s="5" t="str">
        <f>IF(E404="","","VEN-"&amp; TEXT(IF(COUNTIF(E$6:E404,E404)&gt;=1,MATCH(E404,$E$6:$E$1000,0),COUNTA(UNIQUE(E$6:E404))),"000"))</f>
        <v/>
      </c>
    </row>
    <row r="405" spans="4:4">
      <c r="D405" s="5" t="str">
        <f>IF(E405="","","VEN-"&amp; TEXT(IF(COUNTIF(E$6:E405,E405)&gt;=1,MATCH(E405,$E$6:$E$1000,0),COUNTA(UNIQUE(E$6:E405))),"000"))</f>
        <v/>
      </c>
    </row>
    <row r="406" spans="4:4">
      <c r="D406" s="5" t="str">
        <f>IF(E406="","","VEN-"&amp; TEXT(IF(COUNTIF(E$6:E406,E406)&gt;=1,MATCH(E406,$E$6:$E$1000,0),COUNTA(UNIQUE(E$6:E406))),"000"))</f>
        <v/>
      </c>
    </row>
    <row r="407" spans="4:4">
      <c r="D407" s="5" t="str">
        <f>IF(E407="","","VEN-"&amp; TEXT(IF(COUNTIF(E$6:E407,E407)&gt;=1,MATCH(E407,$E$6:$E$1000,0),COUNTA(UNIQUE(E$6:E407))),"000"))</f>
        <v/>
      </c>
    </row>
    <row r="408" spans="4:4">
      <c r="D408" s="5" t="str">
        <f>IF(E408="","","VEN-"&amp; TEXT(IF(COUNTIF(E$6:E408,E408)&gt;=1,MATCH(E408,$E$6:$E$1000,0),COUNTA(UNIQUE(E$6:E408))),"000"))</f>
        <v/>
      </c>
    </row>
    <row r="409" spans="4:4">
      <c r="D409" s="5" t="str">
        <f>IF(E409="","","VEN-"&amp; TEXT(IF(COUNTIF(E$6:E409,E409)&gt;=1,MATCH(E409,$E$6:$E$1000,0),COUNTA(UNIQUE(E$6:E409))),"000"))</f>
        <v/>
      </c>
    </row>
    <row r="410" spans="4:4">
      <c r="D410" s="5" t="str">
        <f>IF(E410="","","VEN-"&amp; TEXT(IF(COUNTIF(E$6:E410,E410)&gt;=1,MATCH(E410,$E$6:$E$1000,0),COUNTA(UNIQUE(E$6:E410))),"000"))</f>
        <v/>
      </c>
    </row>
    <row r="411" spans="4:4">
      <c r="D411" s="5" t="str">
        <f>IF(E411="","","VEN-"&amp; TEXT(IF(COUNTIF(E$6:E411,E411)&gt;=1,MATCH(E411,$E$6:$E$1000,0),COUNTA(UNIQUE(E$6:E411))),"000"))</f>
        <v/>
      </c>
    </row>
    <row r="412" spans="4:4">
      <c r="D412" s="5" t="str">
        <f>IF(E412="","","VEN-"&amp; TEXT(IF(COUNTIF(E$6:E412,E412)&gt;=1,MATCH(E412,$E$6:$E$1000,0),COUNTA(UNIQUE(E$6:E412))),"000"))</f>
        <v/>
      </c>
    </row>
    <row r="413" spans="4:4">
      <c r="D413" s="5" t="str">
        <f>IF(E413="","","VEN-"&amp; TEXT(IF(COUNTIF(E$6:E413,E413)&gt;=1,MATCH(E413,$E$6:$E$1000,0),COUNTA(UNIQUE(E$6:E413))),"000"))</f>
        <v/>
      </c>
    </row>
    <row r="414" spans="4:4">
      <c r="D414" s="5" t="str">
        <f>IF(E414="","","VEN-"&amp; TEXT(IF(COUNTIF(E$6:E414,E414)&gt;=1,MATCH(E414,$E$6:$E$1000,0),COUNTA(UNIQUE(E$6:E414))),"000"))</f>
        <v/>
      </c>
    </row>
    <row r="415" spans="4:4">
      <c r="D415" s="5" t="str">
        <f>IF(E415="","","VEN-"&amp; TEXT(IF(COUNTIF(E$6:E415,E415)&gt;=1,MATCH(E415,$E$6:$E$1000,0),COUNTA(UNIQUE(E$6:E415))),"000"))</f>
        <v/>
      </c>
    </row>
    <row r="416" spans="4:4">
      <c r="D416" s="5" t="str">
        <f>IF(E416="","","VEN-"&amp; TEXT(IF(COUNTIF(E$6:E416,E416)&gt;=1,MATCH(E416,$E$6:$E$1000,0),COUNTA(UNIQUE(E$6:E416))),"000"))</f>
        <v/>
      </c>
    </row>
    <row r="417" spans="4:4">
      <c r="D417" s="5" t="str">
        <f>IF(E417="","","VEN-"&amp; TEXT(IF(COUNTIF(E$6:E417,E417)&gt;=1,MATCH(E417,$E$6:$E$1000,0),COUNTA(UNIQUE(E$6:E417))),"000"))</f>
        <v/>
      </c>
    </row>
    <row r="418" spans="4:4">
      <c r="D418" s="5" t="str">
        <f>IF(E418="","","VEN-"&amp; TEXT(IF(COUNTIF(E$6:E418,E418)&gt;=1,MATCH(E418,$E$6:$E$1000,0),COUNTA(UNIQUE(E$6:E418))),"000"))</f>
        <v/>
      </c>
    </row>
    <row r="419" spans="4:4">
      <c r="D419" s="5" t="str">
        <f>IF(E419="","","VEN-"&amp; TEXT(IF(COUNTIF(E$6:E419,E419)&gt;=1,MATCH(E419,$E$6:$E$1000,0),COUNTA(UNIQUE(E$6:E419))),"000"))</f>
        <v/>
      </c>
    </row>
    <row r="420" spans="4:4">
      <c r="D420" s="5" t="str">
        <f>IF(E420="","","VEN-"&amp; TEXT(IF(COUNTIF(E$6:E420,E420)&gt;=1,MATCH(E420,$E$6:$E$1000,0),COUNTA(UNIQUE(E$6:E420))),"000"))</f>
        <v/>
      </c>
    </row>
    <row r="421" spans="4:4">
      <c r="D421" s="5" t="str">
        <f>IF(E421="","","VEN-"&amp; TEXT(IF(COUNTIF(E$6:E421,E421)&gt;=1,MATCH(E421,$E$6:$E$1000,0),COUNTA(UNIQUE(E$6:E421))),"000"))</f>
        <v/>
      </c>
    </row>
    <row r="422" spans="4:4">
      <c r="D422" s="5" t="str">
        <f>IF(E422="","","VEN-"&amp; TEXT(IF(COUNTIF(E$6:E422,E422)&gt;=1,MATCH(E422,$E$6:$E$1000,0),COUNTA(UNIQUE(E$6:E422))),"000"))</f>
        <v/>
      </c>
    </row>
    <row r="423" spans="4:4">
      <c r="D423" s="5" t="str">
        <f>IF(E423="","","VEN-"&amp; TEXT(IF(COUNTIF(E$6:E423,E423)&gt;=1,MATCH(E423,$E$6:$E$1000,0),COUNTA(UNIQUE(E$6:E423))),"000"))</f>
        <v/>
      </c>
    </row>
    <row r="424" spans="4:4">
      <c r="D424" s="5" t="str">
        <f>IF(E424="","","VEN-"&amp; TEXT(IF(COUNTIF(E$6:E424,E424)&gt;=1,MATCH(E424,$E$6:$E$1000,0),COUNTA(UNIQUE(E$6:E424))),"000"))</f>
        <v/>
      </c>
    </row>
    <row r="425" spans="4:4">
      <c r="D425" s="5" t="str">
        <f>IF(E425="","","VEN-"&amp; TEXT(IF(COUNTIF(E$6:E425,E425)&gt;=1,MATCH(E425,$E$6:$E$1000,0),COUNTA(UNIQUE(E$6:E425))),"000"))</f>
        <v/>
      </c>
    </row>
    <row r="426" spans="4:4">
      <c r="D426" s="5" t="str">
        <f>IF(E426="","","VEN-"&amp; TEXT(IF(COUNTIF(E$6:E426,E426)&gt;=1,MATCH(E426,$E$6:$E$1000,0),COUNTA(UNIQUE(E$6:E426))),"000"))</f>
        <v/>
      </c>
    </row>
    <row r="427" spans="4:4">
      <c r="D427" s="5" t="str">
        <f>IF(E427="","","VEN-"&amp; TEXT(IF(COUNTIF(E$6:E427,E427)&gt;=1,MATCH(E427,$E$6:$E$1000,0),COUNTA(UNIQUE(E$6:E427))),"000"))</f>
        <v/>
      </c>
    </row>
    <row r="428" spans="4:4">
      <c r="D428" s="5" t="str">
        <f>IF(E428="","","VEN-"&amp; TEXT(IF(COUNTIF(E$6:E428,E428)&gt;=1,MATCH(E428,$E$6:$E$1000,0),COUNTA(UNIQUE(E$6:E428))),"000"))</f>
        <v/>
      </c>
    </row>
    <row r="429" spans="4:4">
      <c r="D429" s="5" t="str">
        <f>IF(E429="","","VEN-"&amp; TEXT(IF(COUNTIF(E$6:E429,E429)&gt;=1,MATCH(E429,$E$6:$E$1000,0),COUNTA(UNIQUE(E$6:E429))),"000"))</f>
        <v/>
      </c>
    </row>
    <row r="430" spans="4:4">
      <c r="D430" s="5" t="str">
        <f>IF(E430="","","VEN-"&amp; TEXT(IF(COUNTIF(E$6:E430,E430)&gt;=1,MATCH(E430,$E$6:$E$1000,0),COUNTA(UNIQUE(E$6:E430))),"000"))</f>
        <v/>
      </c>
    </row>
    <row r="431" spans="4:4">
      <c r="D431" s="5" t="str">
        <f>IF(E431="","","VEN-"&amp; TEXT(IF(COUNTIF(E$6:E431,E431)&gt;=1,MATCH(E431,$E$6:$E$1000,0),COUNTA(UNIQUE(E$6:E431))),"000"))</f>
        <v/>
      </c>
    </row>
    <row r="432" spans="4:4">
      <c r="D432" s="5" t="str">
        <f>IF(E432="","","VEN-"&amp; TEXT(IF(COUNTIF(E$6:E432,E432)&gt;=1,MATCH(E432,$E$6:$E$1000,0),COUNTA(UNIQUE(E$6:E432))),"000"))</f>
        <v/>
      </c>
    </row>
    <row r="433" spans="4:4">
      <c r="D433" s="5" t="str">
        <f>IF(E433="","","VEN-"&amp; TEXT(IF(COUNTIF(E$6:E433,E433)&gt;=1,MATCH(E433,$E$6:$E$1000,0),COUNTA(UNIQUE(E$6:E433))),"000"))</f>
        <v/>
      </c>
    </row>
    <row r="434" spans="4:4">
      <c r="D434" s="5" t="str">
        <f>IF(E434="","","VEN-"&amp; TEXT(IF(COUNTIF(E$6:E434,E434)&gt;=1,MATCH(E434,$E$6:$E$1000,0),COUNTA(UNIQUE(E$6:E434))),"000"))</f>
        <v/>
      </c>
    </row>
    <row r="435" spans="4:4">
      <c r="D435" s="5" t="str">
        <f>IF(E435="","","VEN-"&amp; TEXT(IF(COUNTIF(E$6:E435,E435)&gt;=1,MATCH(E435,$E$6:$E$1000,0),COUNTA(UNIQUE(E$6:E435))),"000"))</f>
        <v/>
      </c>
    </row>
    <row r="436" spans="4:4">
      <c r="D436" s="5" t="str">
        <f>IF(E436="","","VEN-"&amp; TEXT(IF(COUNTIF(E$6:E436,E436)&gt;=1,MATCH(E436,$E$6:$E$1000,0),COUNTA(UNIQUE(E$6:E436))),"000"))</f>
        <v/>
      </c>
    </row>
    <row r="437" spans="4:4">
      <c r="D437" s="5" t="str">
        <f>IF(E437="","","VEN-"&amp; TEXT(IF(COUNTIF(E$6:E437,E437)&gt;=1,MATCH(E437,$E$6:$E$1000,0),COUNTA(UNIQUE(E$6:E437))),"000"))</f>
        <v/>
      </c>
    </row>
    <row r="438" spans="4:4">
      <c r="D438" s="5" t="str">
        <f>IF(E438="","","VEN-"&amp; TEXT(IF(COUNTIF(E$6:E438,E438)&gt;=1,MATCH(E438,$E$6:$E$1000,0),COUNTA(UNIQUE(E$6:E438))),"000"))</f>
        <v/>
      </c>
    </row>
    <row r="439" spans="4:4">
      <c r="D439" s="5" t="str">
        <f>IF(E439="","","VEN-"&amp; TEXT(IF(COUNTIF(E$6:E439,E439)&gt;=1,MATCH(E439,$E$6:$E$1000,0),COUNTA(UNIQUE(E$6:E439))),"000"))</f>
        <v/>
      </c>
    </row>
    <row r="440" spans="4:4">
      <c r="D440" s="5" t="str">
        <f>IF(E440="","","VEN-"&amp; TEXT(IF(COUNTIF(E$6:E440,E440)&gt;=1,MATCH(E440,$E$6:$E$1000,0),COUNTA(UNIQUE(E$6:E440))),"000"))</f>
        <v/>
      </c>
    </row>
    <row r="441" spans="4:4">
      <c r="D441" s="5" t="str">
        <f>IF(E441="","","VEN-"&amp; TEXT(IF(COUNTIF(E$6:E441,E441)&gt;=1,MATCH(E441,$E$6:$E$1000,0),COUNTA(UNIQUE(E$6:E441))),"000"))</f>
        <v/>
      </c>
    </row>
    <row r="442" spans="4:4">
      <c r="D442" s="5" t="str">
        <f>IF(E442="","","VEN-"&amp; TEXT(IF(COUNTIF(E$6:E442,E442)&gt;=1,MATCH(E442,$E$6:$E$1000,0),COUNTA(UNIQUE(E$6:E442))),"000"))</f>
        <v/>
      </c>
    </row>
    <row r="443" spans="4:4">
      <c r="D443" s="5" t="str">
        <f>IF(E443="","","VEN-"&amp; TEXT(IF(COUNTIF(E$6:E443,E443)&gt;=1,MATCH(E443,$E$6:$E$1000,0),COUNTA(UNIQUE(E$6:E443))),"000"))</f>
        <v/>
      </c>
    </row>
    <row r="444" spans="4:4">
      <c r="D444" s="5" t="str">
        <f>IF(E444="","","VEN-"&amp; TEXT(IF(COUNTIF(E$6:E444,E444)&gt;=1,MATCH(E444,$E$6:$E$1000,0),COUNTA(UNIQUE(E$6:E444))),"000"))</f>
        <v/>
      </c>
    </row>
    <row r="445" spans="4:4">
      <c r="D445" s="5" t="str">
        <f>IF(E445="","","VEN-"&amp; TEXT(IF(COUNTIF(E$6:E445,E445)&gt;=1,MATCH(E445,$E$6:$E$1000,0),COUNTA(UNIQUE(E$6:E445))),"000"))</f>
        <v/>
      </c>
    </row>
    <row r="446" spans="4:4">
      <c r="D446" s="5" t="str">
        <f>IF(E446="","","VEN-"&amp; TEXT(IF(COUNTIF(E$6:E446,E446)&gt;=1,MATCH(E446,$E$6:$E$1000,0),COUNTA(UNIQUE(E$6:E446))),"000"))</f>
        <v/>
      </c>
    </row>
    <row r="447" spans="4:4">
      <c r="D447" s="5" t="str">
        <f>IF(E447="","","VEN-"&amp; TEXT(IF(COUNTIF(E$6:E447,E447)&gt;=1,MATCH(E447,$E$6:$E$1000,0),COUNTA(UNIQUE(E$6:E447))),"000"))</f>
        <v/>
      </c>
    </row>
    <row r="448" spans="4:4">
      <c r="D448" s="5" t="str">
        <f>IF(E448="","","VEN-"&amp; TEXT(IF(COUNTIF(E$6:E448,E448)&gt;=1,MATCH(E448,$E$6:$E$1000,0),COUNTA(UNIQUE(E$6:E448))),"000"))</f>
        <v/>
      </c>
    </row>
    <row r="449" spans="4:4">
      <c r="D449" s="5" t="str">
        <f>IF(E449="","","VEN-"&amp; TEXT(IF(COUNTIF(E$6:E449,E449)&gt;=1,MATCH(E449,$E$6:$E$1000,0),COUNTA(UNIQUE(E$6:E449))),"000"))</f>
        <v/>
      </c>
    </row>
    <row r="450" spans="4:4">
      <c r="D450" s="5" t="str">
        <f>IF(E450="","","VEN-"&amp; TEXT(IF(COUNTIF(E$6:E450,E450)&gt;=1,MATCH(E450,$E$6:$E$1000,0),COUNTA(UNIQUE(E$6:E450))),"000"))</f>
        <v/>
      </c>
    </row>
    <row r="451" spans="4:4">
      <c r="D451" s="5" t="str">
        <f>IF(E451="","","VEN-"&amp; TEXT(IF(COUNTIF(E$6:E451,E451)&gt;=1,MATCH(E451,$E$6:$E$1000,0),COUNTA(UNIQUE(E$6:E451))),"000"))</f>
        <v/>
      </c>
    </row>
    <row r="452" spans="4:4">
      <c r="D452" s="5" t="str">
        <f>IF(E452="","","VEN-"&amp; TEXT(IF(COUNTIF(E$6:E452,E452)&gt;=1,MATCH(E452,$E$6:$E$1000,0),COUNTA(UNIQUE(E$6:E452))),"000"))</f>
        <v/>
      </c>
    </row>
    <row r="453" spans="4:4">
      <c r="D453" s="5" t="str">
        <f>IF(E453="","","VEN-"&amp; TEXT(IF(COUNTIF(E$6:E453,E453)&gt;=1,MATCH(E453,$E$6:$E$1000,0),COUNTA(UNIQUE(E$6:E453))),"000"))</f>
        <v/>
      </c>
    </row>
    <row r="454" spans="4:4">
      <c r="D454" s="5" t="str">
        <f>IF(E454="","","VEN-"&amp; TEXT(IF(COUNTIF(E$6:E454,E454)&gt;=1,MATCH(E454,$E$6:$E$1000,0),COUNTA(UNIQUE(E$6:E454))),"000"))</f>
        <v/>
      </c>
    </row>
    <row r="455" spans="4:4">
      <c r="D455" s="5" t="str">
        <f>IF(E455="","","VEN-"&amp; TEXT(IF(COUNTIF(E$6:E455,E455)&gt;=1,MATCH(E455,$E$6:$E$1000,0),COUNTA(UNIQUE(E$6:E455))),"000"))</f>
        <v/>
      </c>
    </row>
    <row r="456" spans="4:4">
      <c r="D456" s="5" t="str">
        <f>IF(E456="","","VEN-"&amp; TEXT(IF(COUNTIF(E$6:E456,E456)&gt;=1,MATCH(E456,$E$6:$E$1000,0),COUNTA(UNIQUE(E$6:E456))),"000"))</f>
        <v/>
      </c>
    </row>
    <row r="457" spans="4:4">
      <c r="D457" s="5" t="str">
        <f>IF(E457="","","VEN-"&amp; TEXT(IF(COUNTIF(E$6:E457,E457)&gt;=1,MATCH(E457,$E$6:$E$1000,0),COUNTA(UNIQUE(E$6:E457))),"000"))</f>
        <v/>
      </c>
    </row>
    <row r="458" spans="4:4">
      <c r="D458" s="5" t="str">
        <f>IF(E458="","","VEN-"&amp; TEXT(IF(COUNTIF(E$6:E458,E458)&gt;=1,MATCH(E458,$E$6:$E$1000,0),COUNTA(UNIQUE(E$6:E458))),"000"))</f>
        <v/>
      </c>
    </row>
    <row r="459" spans="4:4">
      <c r="D459" s="5" t="str">
        <f>IF(E459="","","VEN-"&amp; TEXT(IF(COUNTIF(E$6:E459,E459)&gt;=1,MATCH(E459,$E$6:$E$1000,0),COUNTA(UNIQUE(E$6:E459))),"000"))</f>
        <v/>
      </c>
    </row>
    <row r="460" spans="4:4">
      <c r="D460" s="5" t="str">
        <f>IF(E460="","","VEN-"&amp; TEXT(IF(COUNTIF(E$6:E460,E460)&gt;=1,MATCH(E460,$E$6:$E$1000,0),COUNTA(UNIQUE(E$6:E460))),"000"))</f>
        <v/>
      </c>
    </row>
    <row r="461" spans="4:4">
      <c r="D461" s="5" t="str">
        <f>IF(E461="","","VEN-"&amp; TEXT(IF(COUNTIF(E$6:E461,E461)&gt;=1,MATCH(E461,$E$6:$E$1000,0),COUNTA(UNIQUE(E$6:E461))),"000"))</f>
        <v/>
      </c>
    </row>
    <row r="462" spans="4:4">
      <c r="D462" s="5" t="str">
        <f>IF(E462="","","VEN-"&amp; TEXT(IF(COUNTIF(E$6:E462,E462)&gt;=1,MATCH(E462,$E$6:$E$1000,0),COUNTA(UNIQUE(E$6:E462))),"000"))</f>
        <v/>
      </c>
    </row>
    <row r="463" spans="4:4">
      <c r="D463" s="5" t="str">
        <f>IF(E463="","","VEN-"&amp; TEXT(IF(COUNTIF(E$6:E463,E463)&gt;=1,MATCH(E463,$E$6:$E$1000,0),COUNTA(UNIQUE(E$6:E463))),"000"))</f>
        <v/>
      </c>
    </row>
    <row r="464" spans="4:4">
      <c r="D464" s="5" t="str">
        <f>IF(E464="","","VEN-"&amp; TEXT(IF(COUNTIF(E$6:E464,E464)&gt;=1,MATCH(E464,$E$6:$E$1000,0),COUNTA(UNIQUE(E$6:E464))),"000"))</f>
        <v/>
      </c>
    </row>
    <row r="465" spans="4:4">
      <c r="D465" s="5" t="str">
        <f>IF(E465="","","VEN-"&amp; TEXT(IF(COUNTIF(E$6:E465,E465)&gt;=1,MATCH(E465,$E$6:$E$1000,0),COUNTA(UNIQUE(E$6:E465))),"000"))</f>
        <v/>
      </c>
    </row>
    <row r="466" spans="4:4">
      <c r="D466" s="5" t="str">
        <f>IF(E466="","","VEN-"&amp; TEXT(IF(COUNTIF(E$6:E466,E466)&gt;=1,MATCH(E466,$E$6:$E$1000,0),COUNTA(UNIQUE(E$6:E466))),"000"))</f>
        <v/>
      </c>
    </row>
    <row r="467" spans="4:4">
      <c r="D467" s="5" t="str">
        <f>IF(E467="","","VEN-"&amp; TEXT(IF(COUNTIF(E$6:E467,E467)&gt;=1,MATCH(E467,$E$6:$E$1000,0),COUNTA(UNIQUE(E$6:E467))),"000"))</f>
        <v/>
      </c>
    </row>
    <row r="468" spans="4:4">
      <c r="D468" s="5" t="str">
        <f>IF(E468="","","VEN-"&amp; TEXT(IF(COUNTIF(E$6:E468,E468)&gt;=1,MATCH(E468,$E$6:$E$1000,0),COUNTA(UNIQUE(E$6:E468))),"000"))</f>
        <v/>
      </c>
    </row>
    <row r="469" spans="4:4">
      <c r="D469" s="5" t="str">
        <f>IF(E469="","","VEN-"&amp; TEXT(IF(COUNTIF(E$6:E469,E469)&gt;=1,MATCH(E469,$E$6:$E$1000,0),COUNTA(UNIQUE(E$6:E469))),"000"))</f>
        <v/>
      </c>
    </row>
    <row r="470" spans="4:4">
      <c r="D470" s="5" t="str">
        <f>IF(E470="","","VEN-"&amp; TEXT(IF(COUNTIF(E$6:E470,E470)&gt;=1,MATCH(E470,$E$6:$E$1000,0),COUNTA(UNIQUE(E$6:E470))),"000"))</f>
        <v/>
      </c>
    </row>
    <row r="471" spans="4:4">
      <c r="D471" s="5" t="str">
        <f>IF(E471="","","VEN-"&amp; TEXT(IF(COUNTIF(E$6:E471,E471)&gt;=1,MATCH(E471,$E$6:$E$1000,0),COUNTA(UNIQUE(E$6:E471))),"000"))</f>
        <v/>
      </c>
    </row>
    <row r="472" spans="4:4">
      <c r="D472" s="5" t="str">
        <f>IF(E472="","","VEN-"&amp; TEXT(IF(COUNTIF(E$6:E472,E472)&gt;=1,MATCH(E472,$E$6:$E$1000,0),COUNTA(UNIQUE(E$6:E472))),"000"))</f>
        <v/>
      </c>
    </row>
    <row r="473" spans="4:4">
      <c r="D473" s="5" t="str">
        <f>IF(E473="","","VEN-"&amp; TEXT(IF(COUNTIF(E$6:E473,E473)&gt;=1,MATCH(E473,$E$6:$E$1000,0),COUNTA(UNIQUE(E$6:E473))),"000"))</f>
        <v/>
      </c>
    </row>
    <row r="474" spans="4:4">
      <c r="D474" s="5" t="str">
        <f>IF(E474="","","VEN-"&amp; TEXT(IF(COUNTIF(E$6:E474,E474)&gt;=1,MATCH(E474,$E$6:$E$1000,0),COUNTA(UNIQUE(E$6:E474))),"000"))</f>
        <v/>
      </c>
    </row>
    <row r="475" spans="4:4">
      <c r="D475" s="5" t="str">
        <f>IF(E475="","","VEN-"&amp; TEXT(IF(COUNTIF(E$6:E475,E475)&gt;=1,MATCH(E475,$E$6:$E$1000,0),COUNTA(UNIQUE(E$6:E475))),"000"))</f>
        <v/>
      </c>
    </row>
    <row r="476" spans="4:4">
      <c r="D476" s="5" t="str">
        <f>IF(E476="","","VEN-"&amp; TEXT(IF(COUNTIF(E$6:E476,E476)&gt;=1,MATCH(E476,$E$6:$E$1000,0),COUNTA(UNIQUE(E$6:E476))),"000"))</f>
        <v/>
      </c>
    </row>
    <row r="477" spans="4:4">
      <c r="D477" s="5" t="str">
        <f>IF(E477="","","VEN-"&amp; TEXT(IF(COUNTIF(E$6:E477,E477)&gt;=1,MATCH(E477,$E$6:$E$1000,0),COUNTA(UNIQUE(E$6:E477))),"000"))</f>
        <v/>
      </c>
    </row>
    <row r="478" spans="4:4">
      <c r="D478" s="5" t="str">
        <f>IF(E478="","","VEN-"&amp; TEXT(IF(COUNTIF(E$6:E478,E478)&gt;=1,MATCH(E478,$E$6:$E$1000,0),COUNTA(UNIQUE(E$6:E478))),"000"))</f>
        <v/>
      </c>
    </row>
    <row r="479" spans="4:4">
      <c r="D479" s="5" t="str">
        <f>IF(E479="","","VEN-"&amp; TEXT(IF(COUNTIF(E$6:E479,E479)&gt;=1,MATCH(E479,$E$6:$E$1000,0),COUNTA(UNIQUE(E$6:E479))),"000"))</f>
        <v/>
      </c>
    </row>
    <row r="480" spans="4:4">
      <c r="D480" s="5" t="str">
        <f>IF(E480="","","VEN-"&amp; TEXT(IF(COUNTIF(E$6:E480,E480)&gt;=1,MATCH(E480,$E$6:$E$1000,0),COUNTA(UNIQUE(E$6:E480))),"000"))</f>
        <v/>
      </c>
    </row>
    <row r="481" spans="4:4">
      <c r="D481" s="5" t="str">
        <f>IF(E481="","","VEN-"&amp; TEXT(IF(COUNTIF(E$6:E481,E481)&gt;=1,MATCH(E481,$E$6:$E$1000,0),COUNTA(UNIQUE(E$6:E481))),"000"))</f>
        <v/>
      </c>
    </row>
    <row r="482" spans="4:4">
      <c r="D482" s="5" t="str">
        <f>IF(E482="","","VEN-"&amp; TEXT(IF(COUNTIF(E$6:E482,E482)&gt;=1,MATCH(E482,$E$6:$E$1000,0),COUNTA(UNIQUE(E$6:E482))),"000"))</f>
        <v/>
      </c>
    </row>
    <row r="483" spans="4:4">
      <c r="D483" s="5" t="str">
        <f>IF(E483="","","VEN-"&amp; TEXT(IF(COUNTIF(E$6:E483,E483)&gt;=1,MATCH(E483,$E$6:$E$1000,0),COUNTA(UNIQUE(E$6:E483))),"000"))</f>
        <v/>
      </c>
    </row>
    <row r="484" spans="4:4">
      <c r="D484" s="5" t="str">
        <f>IF(E484="","","VEN-"&amp; TEXT(IF(COUNTIF(E$6:E484,E484)&gt;=1,MATCH(E484,$E$6:$E$1000,0),COUNTA(UNIQUE(E$6:E484))),"000"))</f>
        <v/>
      </c>
    </row>
    <row r="485" spans="4:4">
      <c r="D485" s="5" t="str">
        <f>IF(E485="","","VEN-"&amp; TEXT(IF(COUNTIF(E$6:E485,E485)&gt;=1,MATCH(E485,$E$6:$E$1000,0),COUNTA(UNIQUE(E$6:E485))),"000"))</f>
        <v/>
      </c>
    </row>
    <row r="486" spans="4:4">
      <c r="D486" s="5" t="str">
        <f>IF(E486="","","VEN-"&amp; TEXT(IF(COUNTIF(E$6:E486,E486)&gt;=1,MATCH(E486,$E$6:$E$1000,0),COUNTA(UNIQUE(E$6:E486))),"000"))</f>
        <v/>
      </c>
    </row>
    <row r="487" spans="4:4">
      <c r="D487" s="5" t="str">
        <f>IF(E487="","","VEN-"&amp; TEXT(IF(COUNTIF(E$6:E487,E487)&gt;=1,MATCH(E487,$E$6:$E$1000,0),COUNTA(UNIQUE(E$6:E487))),"000"))</f>
        <v/>
      </c>
    </row>
    <row r="488" spans="4:4">
      <c r="D488" s="5" t="str">
        <f>IF(E488="","","VEN-"&amp; TEXT(IF(COUNTIF(E$6:E488,E488)&gt;=1,MATCH(E488,$E$6:$E$1000,0),COUNTA(UNIQUE(E$6:E488))),"000"))</f>
        <v/>
      </c>
    </row>
    <row r="489" spans="4:4">
      <c r="D489" s="5" t="str">
        <f>IF(E489="","","VEN-"&amp; TEXT(IF(COUNTIF(E$6:E489,E489)&gt;=1,MATCH(E489,$E$6:$E$1000,0),COUNTA(UNIQUE(E$6:E489))),"000"))</f>
        <v/>
      </c>
    </row>
    <row r="490" spans="4:4">
      <c r="D490" s="5" t="str">
        <f>IF(E490="","","VEN-"&amp; TEXT(IF(COUNTIF(E$6:E490,E490)&gt;=1,MATCH(E490,$E$6:$E$1000,0),COUNTA(UNIQUE(E$6:E490))),"000"))</f>
        <v/>
      </c>
    </row>
    <row r="491" spans="4:4">
      <c r="D491" s="5" t="str">
        <f>IF(E491="","","VEN-"&amp; TEXT(IF(COUNTIF(E$6:E491,E491)&gt;=1,MATCH(E491,$E$6:$E$1000,0),COUNTA(UNIQUE(E$6:E491))),"000"))</f>
        <v/>
      </c>
    </row>
    <row r="492" spans="4:4">
      <c r="D492" s="5" t="str">
        <f>IF(E492="","","VEN-"&amp; TEXT(IF(COUNTIF(E$6:E492,E492)&gt;=1,MATCH(E492,$E$6:$E$1000,0),COUNTA(UNIQUE(E$6:E492))),"000"))</f>
        <v/>
      </c>
    </row>
    <row r="493" spans="4:4">
      <c r="D493" s="5" t="str">
        <f>IF(E493="","","VEN-"&amp; TEXT(IF(COUNTIF(E$6:E493,E493)&gt;=1,MATCH(E493,$E$6:$E$1000,0),COUNTA(UNIQUE(E$6:E493))),"000"))</f>
        <v/>
      </c>
    </row>
    <row r="494" spans="4:4">
      <c r="D494" s="5" t="str">
        <f>IF(E494="","","VEN-"&amp; TEXT(IF(COUNTIF(E$6:E494,E494)&gt;=1,MATCH(E494,$E$6:$E$1000,0),COUNTA(UNIQUE(E$6:E494))),"000"))</f>
        <v/>
      </c>
    </row>
    <row r="495" spans="4:4">
      <c r="D495" s="5" t="str">
        <f>IF(E495="","","VEN-"&amp; TEXT(IF(COUNTIF(E$6:E495,E495)&gt;=1,MATCH(E495,$E$6:$E$1000,0),COUNTA(UNIQUE(E$6:E495))),"000"))</f>
        <v/>
      </c>
    </row>
    <row r="496" spans="4:4">
      <c r="D496" s="5" t="str">
        <f>IF(E496="","","VEN-"&amp; TEXT(IF(COUNTIF(E$6:E496,E496)&gt;=1,MATCH(E496,$E$6:$E$1000,0),COUNTA(UNIQUE(E$6:E496))),"000"))</f>
        <v/>
      </c>
    </row>
    <row r="497" spans="4:4">
      <c r="D497" s="5" t="str">
        <f>IF(E497="","","VEN-"&amp; TEXT(IF(COUNTIF(E$6:E497,E497)&gt;=1,MATCH(E497,$E$6:$E$1000,0),COUNTA(UNIQUE(E$6:E497))),"000"))</f>
        <v/>
      </c>
    </row>
    <row r="498" spans="4:4">
      <c r="D498" s="5" t="str">
        <f>IF(E498="","","VEN-"&amp; TEXT(IF(COUNTIF(E$6:E498,E498)&gt;=1,MATCH(E498,$E$6:$E$1000,0),COUNTA(UNIQUE(E$6:E498))),"000"))</f>
        <v/>
      </c>
    </row>
    <row r="499" spans="4:4">
      <c r="D499" s="5" t="str">
        <f>IF(E499="","","VEN-"&amp; TEXT(IF(COUNTIF(E$6:E499,E499)&gt;=1,MATCH(E499,$E$6:$E$1000,0),COUNTA(UNIQUE(E$6:E499))),"000"))</f>
        <v/>
      </c>
    </row>
    <row r="500" spans="4:4">
      <c r="D500" s="5" t="str">
        <f>IF(E500="","","VEN-"&amp; TEXT(IF(COUNTIF(E$6:E500,E500)&gt;=1,MATCH(E500,$E$6:$E$1000,0),COUNTA(UNIQUE(E$6:E500))),"000"))</f>
        <v/>
      </c>
    </row>
    <row r="501" spans="4:4">
      <c r="D501" s="5" t="str">
        <f>IF(E501="","","VEN-"&amp; TEXT(IF(COUNTIF(E$6:E501,E501)&gt;=1,MATCH(E501,$E$6:$E$1000,0),COUNTA(UNIQUE(E$6:E501))),"000"))</f>
        <v/>
      </c>
    </row>
    <row r="502" spans="4:4">
      <c r="D502" s="5" t="str">
        <f>IF(E502="","","VEN-"&amp; TEXT(IF(COUNTIF(E$6:E502,E502)&gt;=1,MATCH(E502,$E$6:$E$1000,0),COUNTA(UNIQUE(E$6:E502))),"000"))</f>
        <v/>
      </c>
    </row>
    <row r="503" spans="4:4">
      <c r="D503" s="5" t="str">
        <f>IF(E503="","","VEN-"&amp; TEXT(IF(COUNTIF(E$6:E503,E503)&gt;=1,MATCH(E503,$E$6:$E$1000,0),COUNTA(UNIQUE(E$6:E503))),"000"))</f>
        <v/>
      </c>
    </row>
    <row r="504" spans="4:4">
      <c r="D504" s="5" t="str">
        <f>IF(E504="","","VEN-"&amp; TEXT(IF(COUNTIF(E$6:E504,E504)&gt;=1,MATCH(E504,$E$6:$E$1000,0),COUNTA(UNIQUE(E$6:E504))),"000"))</f>
        <v/>
      </c>
    </row>
    <row r="505" spans="4:4">
      <c r="D505" s="5" t="str">
        <f>IF(E505="","","VEN-"&amp; TEXT(IF(COUNTIF(E$6:E505,E505)&gt;=1,MATCH(E505,$E$6:$E$1000,0),COUNTA(UNIQUE(E$6:E505))),"000"))</f>
        <v/>
      </c>
    </row>
    <row r="506" spans="4:4">
      <c r="D506" s="5" t="str">
        <f>IF(E506="","","VEN-"&amp; TEXT(IF(COUNTIF(E$6:E506,E506)&gt;=1,MATCH(E506,$E$6:$E$1000,0),COUNTA(UNIQUE(E$6:E506))),"000"))</f>
        <v/>
      </c>
    </row>
    <row r="507" spans="4:4">
      <c r="D507" s="5" t="str">
        <f>IF(E507="","","VEN-"&amp; TEXT(IF(COUNTIF(E$6:E507,E507)&gt;=1,MATCH(E507,$E$6:$E$1000,0),COUNTA(UNIQUE(E$6:E507))),"000"))</f>
        <v/>
      </c>
    </row>
    <row r="508" spans="4:4">
      <c r="D508" s="5" t="str">
        <f>IF(E508="","","VEN-"&amp; TEXT(IF(COUNTIF(E$6:E508,E508)&gt;=1,MATCH(E508,$E$6:$E$1000,0),COUNTA(UNIQUE(E$6:E508))),"000"))</f>
        <v/>
      </c>
    </row>
    <row r="509" spans="4:4">
      <c r="D509" s="5" t="str">
        <f>IF(E509="","","VEN-"&amp; TEXT(IF(COUNTIF(E$6:E509,E509)&gt;=1,MATCH(E509,$E$6:$E$1000,0),COUNTA(UNIQUE(E$6:E509))),"000"))</f>
        <v/>
      </c>
    </row>
    <row r="510" spans="4:4">
      <c r="D510" s="5" t="str">
        <f>IF(E510="","","VEN-"&amp; TEXT(IF(COUNTIF(E$6:E510,E510)&gt;=1,MATCH(E510,$E$6:$E$1000,0),COUNTA(UNIQUE(E$6:E510))),"000"))</f>
        <v/>
      </c>
    </row>
    <row r="511" spans="4:4">
      <c r="D511" s="5" t="str">
        <f>IF(E511="","","VEN-"&amp; TEXT(IF(COUNTIF(E$6:E511,E511)&gt;=1,MATCH(E511,$E$6:$E$1000,0),COUNTA(UNIQUE(E$6:E511))),"000"))</f>
        <v/>
      </c>
    </row>
    <row r="512" spans="4:4">
      <c r="D512" s="5" t="str">
        <f>IF(E512="","","VEN-"&amp; TEXT(IF(COUNTIF(E$6:E512,E512)&gt;=1,MATCH(E512,$E$6:$E$1000,0),COUNTA(UNIQUE(E$6:E512))),"000"))</f>
        <v/>
      </c>
    </row>
    <row r="513" spans="4:4">
      <c r="D513" s="5" t="str">
        <f>IF(E513="","","VEN-"&amp; TEXT(IF(COUNTIF(E$6:E513,E513)&gt;=1,MATCH(E513,$E$6:$E$1000,0),COUNTA(UNIQUE(E$6:E513))),"000"))</f>
        <v/>
      </c>
    </row>
    <row r="514" spans="4:4">
      <c r="D514" s="5" t="str">
        <f>IF(E514="","","VEN-"&amp; TEXT(IF(COUNTIF(E$6:E514,E514)&gt;=1,MATCH(E514,$E$6:$E$1000,0),COUNTA(UNIQUE(E$6:E514))),"000"))</f>
        <v/>
      </c>
    </row>
    <row r="515" spans="4:4">
      <c r="D515" s="5" t="str">
        <f>IF(E515="","","VEN-"&amp; TEXT(IF(COUNTIF(E$6:E515,E515)&gt;=1,MATCH(E515,$E$6:$E$1000,0),COUNTA(UNIQUE(E$6:E515))),"000"))</f>
        <v/>
      </c>
    </row>
    <row r="516" spans="4:4">
      <c r="D516" s="5" t="str">
        <f>IF(E516="","","VEN-"&amp; TEXT(IF(COUNTIF(E$6:E516,E516)&gt;=1,MATCH(E516,$E$6:$E$1000,0),COUNTA(UNIQUE(E$6:E516))),"000"))</f>
        <v/>
      </c>
    </row>
    <row r="517" spans="4:4">
      <c r="D517" s="5" t="str">
        <f>IF(E517="","","VEN-"&amp; TEXT(IF(COUNTIF(E$6:E517,E517)&gt;=1,MATCH(E517,$E$6:$E$1000,0),COUNTA(UNIQUE(E$6:E517))),"000"))</f>
        <v/>
      </c>
    </row>
    <row r="518" spans="4:4">
      <c r="D518" s="5" t="str">
        <f>IF(E518="","","VEN-"&amp; TEXT(IF(COUNTIF(E$6:E518,E518)&gt;=1,MATCH(E518,$E$6:$E$1000,0),COUNTA(UNIQUE(E$6:E518))),"000"))</f>
        <v/>
      </c>
    </row>
    <row r="519" spans="4:4">
      <c r="D519" s="5" t="str">
        <f>IF(E519="","","VEN-"&amp; TEXT(IF(COUNTIF(E$6:E519,E519)&gt;=1,MATCH(E519,$E$6:$E$1000,0),COUNTA(UNIQUE(E$6:E519))),"000"))</f>
        <v/>
      </c>
    </row>
    <row r="520" spans="4:4">
      <c r="D520" s="5" t="str">
        <f>IF(E520="","","VEN-"&amp; TEXT(IF(COUNTIF(E$6:E520,E520)&gt;=1,MATCH(E520,$E$6:$E$1000,0),COUNTA(UNIQUE(E$6:E520))),"000"))</f>
        <v/>
      </c>
    </row>
    <row r="521" spans="4:4">
      <c r="D521" s="5" t="str">
        <f>IF(E521="","","VEN-"&amp; TEXT(IF(COUNTIF(E$6:E521,E521)&gt;=1,MATCH(E521,$E$6:$E$1000,0),COUNTA(UNIQUE(E$6:E521))),"000"))</f>
        <v/>
      </c>
    </row>
    <row r="522" spans="4:4">
      <c r="D522" s="5" t="str">
        <f>IF(E522="","","VEN-"&amp; TEXT(IF(COUNTIF(E$6:E522,E522)&gt;=1,MATCH(E522,$E$6:$E$1000,0),COUNTA(UNIQUE(E$6:E522))),"000"))</f>
        <v/>
      </c>
    </row>
    <row r="523" spans="4:4">
      <c r="D523" s="5" t="str">
        <f>IF(E523="","","VEN-"&amp; TEXT(IF(COUNTIF(E$6:E523,E523)&gt;=1,MATCH(E523,$E$6:$E$1000,0),COUNTA(UNIQUE(E$6:E523))),"000"))</f>
        <v/>
      </c>
    </row>
    <row r="524" spans="4:4">
      <c r="D524" s="5" t="str">
        <f>IF(E524="","","VEN-"&amp; TEXT(IF(COUNTIF(E$6:E524,E524)&gt;=1,MATCH(E524,$E$6:$E$1000,0),COUNTA(UNIQUE(E$6:E524))),"000"))</f>
        <v/>
      </c>
    </row>
    <row r="525" spans="4:4">
      <c r="D525" s="5" t="str">
        <f>IF(E525="","","VEN-"&amp; TEXT(IF(COUNTIF(E$6:E525,E525)&gt;=1,MATCH(E525,$E$6:$E$1000,0),COUNTA(UNIQUE(E$6:E525))),"000"))</f>
        <v/>
      </c>
    </row>
    <row r="526" spans="4:4">
      <c r="D526" s="5" t="str">
        <f>IF(E526="","","VEN-"&amp; TEXT(IF(COUNTIF(E$6:E526,E526)&gt;=1,MATCH(E526,$E$6:$E$1000,0),COUNTA(UNIQUE(E$6:E526))),"000"))</f>
        <v/>
      </c>
    </row>
    <row r="527" spans="4:4">
      <c r="D527" s="5" t="str">
        <f>IF(E527="","","VEN-"&amp; TEXT(IF(COUNTIF(E$6:E527,E527)&gt;=1,MATCH(E527,$E$6:$E$1000,0),COUNTA(UNIQUE(E$6:E527))),"000"))</f>
        <v/>
      </c>
    </row>
    <row r="528" spans="4:4">
      <c r="D528" s="5" t="str">
        <f>IF(E528="","","VEN-"&amp; TEXT(IF(COUNTIF(E$6:E528,E528)&gt;=1,MATCH(E528,$E$6:$E$1000,0),COUNTA(UNIQUE(E$6:E528))),"000"))</f>
        <v/>
      </c>
    </row>
    <row r="529" spans="4:4">
      <c r="D529" s="5" t="str">
        <f>IF(E529="","","VEN-"&amp; TEXT(IF(COUNTIF(E$6:E529,E529)&gt;=1,MATCH(E529,$E$6:$E$1000,0),COUNTA(UNIQUE(E$6:E529))),"000"))</f>
        <v/>
      </c>
    </row>
    <row r="530" spans="4:4">
      <c r="D530" s="5" t="str">
        <f>IF(E530="","","VEN-"&amp; TEXT(IF(COUNTIF(E$6:E530,E530)&gt;=1,MATCH(E530,$E$6:$E$1000,0),COUNTA(UNIQUE(E$6:E530))),"000"))</f>
        <v/>
      </c>
    </row>
    <row r="531" spans="4:4">
      <c r="D531" s="5" t="str">
        <f>IF(E531="","","VEN-"&amp; TEXT(IF(COUNTIF(E$6:E531,E531)&gt;=1,MATCH(E531,$E$6:$E$1000,0),COUNTA(UNIQUE(E$6:E531))),"000"))</f>
        <v/>
      </c>
    </row>
    <row r="532" spans="4:4">
      <c r="D532" s="5" t="str">
        <f>IF(E532="","","VEN-"&amp; TEXT(IF(COUNTIF(E$6:E532,E532)&gt;=1,MATCH(E532,$E$6:$E$1000,0),COUNTA(UNIQUE(E$6:E532))),"000"))</f>
        <v/>
      </c>
    </row>
    <row r="533" spans="4:4">
      <c r="D533" s="5" t="str">
        <f>IF(E533="","","VEN-"&amp; TEXT(IF(COUNTIF(E$6:E533,E533)&gt;=1,MATCH(E533,$E$6:$E$1000,0),COUNTA(UNIQUE(E$6:E533))),"000"))</f>
        <v/>
      </c>
    </row>
    <row r="534" spans="4:4">
      <c r="D534" s="5" t="str">
        <f>IF(E534="","","VEN-"&amp; TEXT(IF(COUNTIF(E$6:E534,E534)&gt;=1,MATCH(E534,$E$6:$E$1000,0),COUNTA(UNIQUE(E$6:E534))),"000"))</f>
        <v/>
      </c>
    </row>
    <row r="535" spans="4:4">
      <c r="D535" s="5" t="str">
        <f>IF(E535="","","VEN-"&amp; TEXT(IF(COUNTIF(E$6:E535,E535)&gt;=1,MATCH(E535,$E$6:$E$1000,0),COUNTA(UNIQUE(E$6:E535))),"000"))</f>
        <v/>
      </c>
    </row>
    <row r="536" spans="4:4">
      <c r="D536" s="5" t="str">
        <f>IF(E536="","","VEN-"&amp; TEXT(IF(COUNTIF(E$6:E536,E536)&gt;=1,MATCH(E536,$E$6:$E$1000,0),COUNTA(UNIQUE(E$6:E536))),"000"))</f>
        <v/>
      </c>
    </row>
    <row r="537" spans="4:4">
      <c r="D537" s="5" t="str">
        <f>IF(E537="","","VEN-"&amp; TEXT(IF(COUNTIF(E$6:E537,E537)&gt;=1,MATCH(E537,$E$6:$E$1000,0),COUNTA(UNIQUE(E$6:E537))),"000"))</f>
        <v/>
      </c>
    </row>
    <row r="538" spans="4:4">
      <c r="D538" s="5" t="str">
        <f>IF(E538="","","VEN-"&amp; TEXT(IF(COUNTIF(E$6:E538,E538)&gt;=1,MATCH(E538,$E$6:$E$1000,0),COUNTA(UNIQUE(E$6:E538))),"000"))</f>
        <v/>
      </c>
    </row>
    <row r="539" spans="4:4">
      <c r="D539" s="5" t="str">
        <f>IF(E539="","","VEN-"&amp; TEXT(IF(COUNTIF(E$6:E539,E539)&gt;=1,MATCH(E539,$E$6:$E$1000,0),COUNTA(UNIQUE(E$6:E539))),"000"))</f>
        <v/>
      </c>
    </row>
    <row r="540" spans="4:4">
      <c r="D540" s="5" t="str">
        <f>IF(E540="","","VEN-"&amp; TEXT(IF(COUNTIF(E$6:E540,E540)&gt;=1,MATCH(E540,$E$6:$E$1000,0),COUNTA(UNIQUE(E$6:E540))),"000"))</f>
        <v/>
      </c>
    </row>
    <row r="541" spans="4:4">
      <c r="D541" s="5" t="str">
        <f>IF(E541="","","VEN-"&amp; TEXT(IF(COUNTIF(E$6:E541,E541)&gt;=1,MATCH(E541,$E$6:$E$1000,0),COUNTA(UNIQUE(E$6:E541))),"000"))</f>
        <v/>
      </c>
    </row>
    <row r="542" spans="4:4">
      <c r="D542" s="5" t="str">
        <f>IF(E542="","","VEN-"&amp; TEXT(IF(COUNTIF(E$6:E542,E542)&gt;=1,MATCH(E542,$E$6:$E$1000,0),COUNTA(UNIQUE(E$6:E542))),"000"))</f>
        <v/>
      </c>
    </row>
    <row r="543" spans="4:4">
      <c r="D543" s="5" t="str">
        <f>IF(E543="","","VEN-"&amp; TEXT(IF(COUNTIF(E$6:E543,E543)&gt;=1,MATCH(E543,$E$6:$E$1000,0),COUNTA(UNIQUE(E$6:E543))),"000"))</f>
        <v/>
      </c>
    </row>
    <row r="544" spans="4:4">
      <c r="D544" s="5" t="str">
        <f>IF(E544="","","VEN-"&amp; TEXT(IF(COUNTIF(E$6:E544,E544)&gt;=1,MATCH(E544,$E$6:$E$1000,0),COUNTA(UNIQUE(E$6:E544))),"000"))</f>
        <v/>
      </c>
    </row>
    <row r="545" spans="4:4">
      <c r="D545" s="5" t="str">
        <f>IF(E545="","","VEN-"&amp; TEXT(IF(COUNTIF(E$6:E545,E545)&gt;=1,MATCH(E545,$E$6:$E$1000,0),COUNTA(UNIQUE(E$6:E545))),"000"))</f>
        <v/>
      </c>
    </row>
    <row r="546" spans="4:4">
      <c r="D546" s="5" t="str">
        <f>IF(E546="","","VEN-"&amp; TEXT(IF(COUNTIF(E$6:E546,E546)&gt;=1,MATCH(E546,$E$6:$E$1000,0),COUNTA(UNIQUE(E$6:E546))),"000"))</f>
        <v/>
      </c>
    </row>
    <row r="547" spans="4:4">
      <c r="D547" s="5" t="str">
        <f>IF(E547="","","VEN-"&amp; TEXT(IF(COUNTIF(E$6:E547,E547)&gt;=1,MATCH(E547,$E$6:$E$1000,0),COUNTA(UNIQUE(E$6:E547))),"000"))</f>
        <v/>
      </c>
    </row>
    <row r="548" spans="4:4">
      <c r="D548" s="5" t="str">
        <f>IF(E548="","","VEN-"&amp; TEXT(IF(COUNTIF(E$6:E548,E548)&gt;=1,MATCH(E548,$E$6:$E$1000,0),COUNTA(UNIQUE(E$6:E548))),"000"))</f>
        <v/>
      </c>
    </row>
    <row r="549" spans="4:4">
      <c r="D549" s="5" t="str">
        <f>IF(E549="","","VEN-"&amp; TEXT(IF(COUNTIF(E$6:E549,E549)&gt;=1,MATCH(E549,$E$6:$E$1000,0),COUNTA(UNIQUE(E$6:E549))),"000"))</f>
        <v/>
      </c>
    </row>
    <row r="550" spans="4:4">
      <c r="D550" s="5" t="str">
        <f>IF(E550="","","VEN-"&amp; TEXT(IF(COUNTIF(E$6:E550,E550)&gt;=1,MATCH(E550,$E$6:$E$1000,0),COUNTA(UNIQUE(E$6:E550))),"000"))</f>
        <v/>
      </c>
    </row>
    <row r="551" spans="4:4">
      <c r="D551" s="5" t="str">
        <f>IF(E551="","","VEN-"&amp; TEXT(IF(COUNTIF(E$6:E551,E551)&gt;=1,MATCH(E551,$E$6:$E$1000,0),COUNTA(UNIQUE(E$6:E551))),"000"))</f>
        <v/>
      </c>
    </row>
    <row r="552" spans="4:4">
      <c r="D552" s="5" t="str">
        <f>IF(E552="","","VEN-"&amp; TEXT(IF(COUNTIF(E$6:E552,E552)&gt;=1,MATCH(E552,$E$6:$E$1000,0),COUNTA(UNIQUE(E$6:E552))),"000"))</f>
        <v/>
      </c>
    </row>
    <row r="553" spans="4:4">
      <c r="D553" s="5" t="str">
        <f>IF(E553="","","VEN-"&amp; TEXT(IF(COUNTIF(E$6:E553,E553)&gt;=1,MATCH(E553,$E$6:$E$1000,0),COUNTA(UNIQUE(E$6:E553))),"000"))</f>
        <v/>
      </c>
    </row>
    <row r="554" spans="4:4">
      <c r="D554" s="5" t="str">
        <f>IF(E554="","","VEN-"&amp; TEXT(IF(COUNTIF(E$6:E554,E554)&gt;=1,MATCH(E554,$E$6:$E$1000,0),COUNTA(UNIQUE(E$6:E554))),"000"))</f>
        <v/>
      </c>
    </row>
    <row r="555" spans="4:4">
      <c r="D555" s="5" t="str">
        <f>IF(E555="","","VEN-"&amp; TEXT(IF(COUNTIF(E$6:E555,E555)&gt;=1,MATCH(E555,$E$6:$E$1000,0),COUNTA(UNIQUE(E$6:E555))),"000"))</f>
        <v/>
      </c>
    </row>
    <row r="556" spans="4:4">
      <c r="D556" s="5" t="str">
        <f>IF(E556="","","VEN-"&amp; TEXT(IF(COUNTIF(E$6:E556,E556)&gt;=1,MATCH(E556,$E$6:$E$1000,0),COUNTA(UNIQUE(E$6:E556))),"000"))</f>
        <v/>
      </c>
    </row>
    <row r="557" spans="4:4">
      <c r="D557" s="5" t="str">
        <f>IF(E557="","","VEN-"&amp; TEXT(IF(COUNTIF(E$6:E557,E557)&gt;=1,MATCH(E557,$E$6:$E$1000,0),COUNTA(UNIQUE(E$6:E557))),"000"))</f>
        <v/>
      </c>
    </row>
    <row r="558" spans="4:4">
      <c r="D558" s="5" t="str">
        <f>IF(E558="","","VEN-"&amp; TEXT(IF(COUNTIF(E$6:E558,E558)&gt;=1,MATCH(E558,$E$6:$E$1000,0),COUNTA(UNIQUE(E$6:E558))),"000"))</f>
        <v/>
      </c>
    </row>
    <row r="559" spans="4:4">
      <c r="D559" s="5" t="str">
        <f>IF(E559="","","VEN-"&amp; TEXT(IF(COUNTIF(E$6:E559,E559)&gt;=1,MATCH(E559,$E$6:$E$1000,0),COUNTA(UNIQUE(E$6:E559))),"000"))</f>
        <v/>
      </c>
    </row>
    <row r="560" spans="4:4">
      <c r="D560" s="5" t="str">
        <f>IF(E560="","","VEN-"&amp; TEXT(IF(COUNTIF(E$6:E560,E560)&gt;=1,MATCH(E560,$E$6:$E$1000,0),COUNTA(UNIQUE(E$6:E560))),"000"))</f>
        <v/>
      </c>
    </row>
    <row r="561" spans="4:4">
      <c r="D561" s="5" t="str">
        <f>IF(E561="","","VEN-"&amp; TEXT(IF(COUNTIF(E$6:E561,E561)&gt;=1,MATCH(E561,$E$6:$E$1000,0),COUNTA(UNIQUE(E$6:E561))),"000"))</f>
        <v/>
      </c>
    </row>
    <row r="562" spans="4:4">
      <c r="D562" s="5" t="str">
        <f>IF(E562="","","VEN-"&amp; TEXT(IF(COUNTIF(E$6:E562,E562)&gt;=1,MATCH(E562,$E$6:$E$1000,0),COUNTA(UNIQUE(E$6:E562))),"000"))</f>
        <v/>
      </c>
    </row>
    <row r="563" spans="4:4">
      <c r="D563" s="5" t="str">
        <f>IF(E563="","","VEN-"&amp; TEXT(IF(COUNTIF(E$6:E563,E563)&gt;=1,MATCH(E563,$E$6:$E$1000,0),COUNTA(UNIQUE(E$6:E563))),"000"))</f>
        <v/>
      </c>
    </row>
    <row r="564" spans="4:4">
      <c r="D564" s="5" t="str">
        <f>IF(E564="","","VEN-"&amp; TEXT(IF(COUNTIF(E$6:E564,E564)&gt;=1,MATCH(E564,$E$6:$E$1000,0),COUNTA(UNIQUE(E$6:E564))),"000"))</f>
        <v/>
      </c>
    </row>
    <row r="565" spans="4:4">
      <c r="D565" s="5" t="str">
        <f>IF(E565="","","VEN-"&amp; TEXT(IF(COUNTIF(E$6:E565,E565)&gt;=1,MATCH(E565,$E$6:$E$1000,0),COUNTA(UNIQUE(E$6:E565))),"000"))</f>
        <v/>
      </c>
    </row>
    <row r="566" spans="4:4">
      <c r="D566" s="5" t="str">
        <f>IF(E566="","","VEN-"&amp; TEXT(IF(COUNTIF(E$6:E566,E566)&gt;=1,MATCH(E566,$E$6:$E$1000,0),COUNTA(UNIQUE(E$6:E566))),"000"))</f>
        <v/>
      </c>
    </row>
    <row r="567" spans="4:4">
      <c r="D567" s="5" t="str">
        <f>IF(E567="","","VEN-"&amp; TEXT(IF(COUNTIF(E$6:E567,E567)&gt;=1,MATCH(E567,$E$6:$E$1000,0),COUNTA(UNIQUE(E$6:E567))),"000"))</f>
        <v/>
      </c>
    </row>
    <row r="568" spans="4:4">
      <c r="D568" s="5" t="str">
        <f>IF(E568="","","VEN-"&amp; TEXT(IF(COUNTIF(E$6:E568,E568)&gt;=1,MATCH(E568,$E$6:$E$1000,0),COUNTA(UNIQUE(E$6:E568))),"000"))</f>
        <v/>
      </c>
    </row>
    <row r="569" spans="4:4">
      <c r="D569" s="5" t="str">
        <f>IF(E569="","","VEN-"&amp; TEXT(IF(COUNTIF(E$6:E569,E569)&gt;=1,MATCH(E569,$E$6:$E$1000,0),COUNTA(UNIQUE(E$6:E569))),"000"))</f>
        <v/>
      </c>
    </row>
    <row r="570" spans="4:4">
      <c r="D570" s="5" t="str">
        <f>IF(E570="","","VEN-"&amp; TEXT(IF(COUNTIF(E$6:E570,E570)&gt;=1,MATCH(E570,$E$6:$E$1000,0),COUNTA(UNIQUE(E$6:E570))),"000"))</f>
        <v/>
      </c>
    </row>
    <row r="571" spans="4:4">
      <c r="D571" s="5" t="str">
        <f>IF(E571="","","VEN-"&amp; TEXT(IF(COUNTIF(E$6:E571,E571)&gt;=1,MATCH(E571,$E$6:$E$1000,0),COUNTA(UNIQUE(E$6:E571))),"000"))</f>
        <v/>
      </c>
    </row>
    <row r="572" spans="4:4">
      <c r="D572" s="5" t="str">
        <f>IF(E572="","","VEN-"&amp; TEXT(IF(COUNTIF(E$6:E572,E572)&gt;=1,MATCH(E572,$E$6:$E$1000,0),COUNTA(UNIQUE(E$6:E572))),"000"))</f>
        <v/>
      </c>
    </row>
    <row r="573" spans="4:4">
      <c r="D573" s="5" t="str">
        <f>IF(E573="","","VEN-"&amp; TEXT(IF(COUNTIF(E$6:E573,E573)&gt;=1,MATCH(E573,$E$6:$E$1000,0),COUNTA(UNIQUE(E$6:E573))),"000"))</f>
        <v/>
      </c>
    </row>
    <row r="574" spans="4:4">
      <c r="D574" s="5" t="str">
        <f>IF(E574="","","VEN-"&amp; TEXT(IF(COUNTIF(E$6:E574,E574)&gt;=1,MATCH(E574,$E$6:$E$1000,0),COUNTA(UNIQUE(E$6:E574))),"000"))</f>
        <v/>
      </c>
    </row>
    <row r="575" spans="4:4">
      <c r="D575" s="5" t="str">
        <f>IF(E575="","","VEN-"&amp; TEXT(IF(COUNTIF(E$6:E575,E575)&gt;=1,MATCH(E575,$E$6:$E$1000,0),COUNTA(UNIQUE(E$6:E575))),"000"))</f>
        <v/>
      </c>
    </row>
    <row r="576" spans="4:4">
      <c r="D576" s="5" t="str">
        <f>IF(E576="","","VEN-"&amp; TEXT(IF(COUNTIF(E$6:E576,E576)&gt;=1,MATCH(E576,$E$6:$E$1000,0),COUNTA(UNIQUE(E$6:E576))),"000"))</f>
        <v/>
      </c>
    </row>
    <row r="577" spans="4:4">
      <c r="D577" s="5" t="str">
        <f>IF(E577="","","VEN-"&amp; TEXT(IF(COUNTIF(E$6:E577,E577)&gt;=1,MATCH(E577,$E$6:$E$1000,0),COUNTA(UNIQUE(E$6:E577))),"000"))</f>
        <v/>
      </c>
    </row>
    <row r="578" spans="4:4">
      <c r="D578" s="5" t="str">
        <f>IF(E578="","","VEN-"&amp; TEXT(IF(COUNTIF(E$6:E578,E578)&gt;=1,MATCH(E578,$E$6:$E$1000,0),COUNTA(UNIQUE(E$6:E578))),"000"))</f>
        <v/>
      </c>
    </row>
    <row r="579" spans="4:4">
      <c r="D579" s="5" t="str">
        <f>IF(E579="","","VEN-"&amp; TEXT(IF(COUNTIF(E$6:E579,E579)&gt;=1,MATCH(E579,$E$6:$E$1000,0),COUNTA(UNIQUE(E$6:E579))),"000"))</f>
        <v/>
      </c>
    </row>
    <row r="580" spans="4:4">
      <c r="D580" s="5" t="str">
        <f>IF(E580="","","VEN-"&amp; TEXT(IF(COUNTIF(E$6:E580,E580)&gt;=1,MATCH(E580,$E$6:$E$1000,0),COUNTA(UNIQUE(E$6:E580))),"000"))</f>
        <v/>
      </c>
    </row>
    <row r="581" spans="4:4">
      <c r="D581" s="5" t="str">
        <f>IF(E581="","","VEN-"&amp; TEXT(IF(COUNTIF(E$6:E581,E581)&gt;=1,MATCH(E581,$E$6:$E$1000,0),COUNTA(UNIQUE(E$6:E581))),"000"))</f>
        <v/>
      </c>
    </row>
    <row r="582" spans="4:4">
      <c r="D582" s="5" t="str">
        <f>IF(E582="","","VEN-"&amp; TEXT(IF(COUNTIF(E$6:E582,E582)&gt;=1,MATCH(E582,$E$6:$E$1000,0),COUNTA(UNIQUE(E$6:E582))),"000"))</f>
        <v/>
      </c>
    </row>
    <row r="583" spans="4:4">
      <c r="D583" s="5" t="str">
        <f>IF(E583="","","VEN-"&amp; TEXT(IF(COUNTIF(E$6:E583,E583)&gt;=1,MATCH(E583,$E$6:$E$1000,0),COUNTA(UNIQUE(E$6:E583))),"000"))</f>
        <v/>
      </c>
    </row>
    <row r="584" spans="4:4">
      <c r="D584" s="5" t="str">
        <f>IF(E584="","","VEN-"&amp; TEXT(IF(COUNTIF(E$6:E584,E584)&gt;=1,MATCH(E584,$E$6:$E$1000,0),COUNTA(UNIQUE(E$6:E584))),"000"))</f>
        <v/>
      </c>
    </row>
    <row r="585" spans="4:4">
      <c r="D585" s="5" t="str">
        <f>IF(E585="","","VEN-"&amp; TEXT(IF(COUNTIF(E$6:E585,E585)&gt;=1,MATCH(E585,$E$6:$E$1000,0),COUNTA(UNIQUE(E$6:E585))),"000"))</f>
        <v/>
      </c>
    </row>
    <row r="586" spans="4:4">
      <c r="D586" s="5" t="str">
        <f>IF(E586="","","VEN-"&amp; TEXT(IF(COUNTIF(E$6:E586,E586)&gt;=1,MATCH(E586,$E$6:$E$1000,0),COUNTA(UNIQUE(E$6:E586))),"000"))</f>
        <v/>
      </c>
    </row>
    <row r="587" spans="4:4">
      <c r="D587" s="5" t="str">
        <f>IF(E587="","","VEN-"&amp; TEXT(IF(COUNTIF(E$6:E587,E587)&gt;=1,MATCH(E587,$E$6:$E$1000,0),COUNTA(UNIQUE(E$6:E587))),"000"))</f>
        <v/>
      </c>
    </row>
    <row r="588" spans="4:4">
      <c r="D588" s="5" t="str">
        <f>IF(E588="","","VEN-"&amp; TEXT(IF(COUNTIF(E$6:E588,E588)&gt;=1,MATCH(E588,$E$6:$E$1000,0),COUNTA(UNIQUE(E$6:E588))),"000"))</f>
        <v/>
      </c>
    </row>
    <row r="589" spans="4:4">
      <c r="D589" s="5" t="str">
        <f>IF(E589="","","VEN-"&amp; TEXT(IF(COUNTIF(E$6:E589,E589)&gt;=1,MATCH(E589,$E$6:$E$1000,0),COUNTA(UNIQUE(E$6:E589))),"000"))</f>
        <v/>
      </c>
    </row>
    <row r="590" spans="4:4">
      <c r="D590" s="5" t="str">
        <f>IF(E590="","","VEN-"&amp; TEXT(IF(COUNTIF(E$6:E590,E590)&gt;=1,MATCH(E590,$E$6:$E$1000,0),COUNTA(UNIQUE(E$6:E590))),"000"))</f>
        <v/>
      </c>
    </row>
    <row r="591" spans="4:4">
      <c r="D591" s="5" t="str">
        <f>IF(E591="","","VEN-"&amp; TEXT(IF(COUNTIF(E$6:E591,E591)&gt;=1,MATCH(E591,$E$6:$E$1000,0),COUNTA(UNIQUE(E$6:E591))),"000"))</f>
        <v/>
      </c>
    </row>
    <row r="592" spans="4:4">
      <c r="D592" s="5" t="str">
        <f>IF(E592="","","VEN-"&amp; TEXT(IF(COUNTIF(E$6:E592,E592)&gt;=1,MATCH(E592,$E$6:$E$1000,0),COUNTA(UNIQUE(E$6:E592))),"000"))</f>
        <v/>
      </c>
    </row>
    <row r="593" spans="4:4">
      <c r="D593" s="5" t="str">
        <f>IF(E593="","","VEN-"&amp; TEXT(IF(COUNTIF(E$6:E593,E593)&gt;=1,MATCH(E593,$E$6:$E$1000,0),COUNTA(UNIQUE(E$6:E593))),"000"))</f>
        <v/>
      </c>
    </row>
    <row r="594" spans="4:4">
      <c r="D594" s="5" t="str">
        <f>IF(E594="","","VEN-"&amp; TEXT(IF(COUNTIF(E$6:E594,E594)&gt;=1,MATCH(E594,$E$6:$E$1000,0),COUNTA(UNIQUE(E$6:E594))),"000"))</f>
        <v/>
      </c>
    </row>
    <row r="595" spans="4:4">
      <c r="D595" s="5" t="str">
        <f>IF(E595="","","VEN-"&amp; TEXT(IF(COUNTIF(E$6:E595,E595)&gt;=1,MATCH(E595,$E$6:$E$1000,0),COUNTA(UNIQUE(E$6:E595))),"000"))</f>
        <v/>
      </c>
    </row>
    <row r="596" spans="4:4">
      <c r="D596" s="5" t="str">
        <f>IF(E596="","","VEN-"&amp; TEXT(IF(COUNTIF(E$6:E596,E596)&gt;=1,MATCH(E596,$E$6:$E$1000,0),COUNTA(UNIQUE(E$6:E596))),"000"))</f>
        <v/>
      </c>
    </row>
    <row r="597" spans="4:4">
      <c r="D597" s="5" t="str">
        <f>IF(E597="","","VEN-"&amp; TEXT(IF(COUNTIF(E$6:E597,E597)&gt;=1,MATCH(E597,$E$6:$E$1000,0),COUNTA(UNIQUE(E$6:E597))),"000"))</f>
        <v/>
      </c>
    </row>
    <row r="598" spans="4:4">
      <c r="D598" s="5" t="str">
        <f>IF(E598="","","VEN-"&amp; TEXT(IF(COUNTIF(E$6:E598,E598)&gt;=1,MATCH(E598,$E$6:$E$1000,0),COUNTA(UNIQUE(E$6:E598))),"000"))</f>
        <v/>
      </c>
    </row>
    <row r="599" spans="4:4">
      <c r="D599" s="5" t="str">
        <f>IF(E599="","","VEN-"&amp; TEXT(IF(COUNTIF(E$6:E599,E599)&gt;=1,MATCH(E599,$E$6:$E$1000,0),COUNTA(UNIQUE(E$6:E599))),"000"))</f>
        <v/>
      </c>
    </row>
    <row r="600" spans="4:4">
      <c r="D600" s="5" t="str">
        <f>IF(E600="","","VEN-"&amp; TEXT(IF(COUNTIF(E$6:E600,E600)&gt;=1,MATCH(E600,$E$6:$E$1000,0),COUNTA(UNIQUE(E$6:E600))),"000"))</f>
        <v/>
      </c>
    </row>
    <row r="601" spans="4:4">
      <c r="D601" s="5" t="str">
        <f>IF(E601="","","VEN-"&amp; TEXT(IF(COUNTIF(E$6:E601,E601)&gt;=1,MATCH(E601,$E$6:$E$1000,0),COUNTA(UNIQUE(E$6:E601))),"000"))</f>
        <v/>
      </c>
    </row>
    <row r="602" spans="4:4">
      <c r="D602" s="5" t="str">
        <f>IF(E602="","","VEN-"&amp; TEXT(IF(COUNTIF(E$6:E602,E602)&gt;=1,MATCH(E602,$E$6:$E$1000,0),COUNTA(UNIQUE(E$6:E602))),"000"))</f>
        <v/>
      </c>
    </row>
    <row r="603" spans="4:4">
      <c r="D603" s="5" t="str">
        <f>IF(E603="","","VEN-"&amp; TEXT(IF(COUNTIF(E$6:E603,E603)&gt;=1,MATCH(E603,$E$6:$E$1000,0),COUNTA(UNIQUE(E$6:E603))),"000"))</f>
        <v/>
      </c>
    </row>
    <row r="604" spans="4:4">
      <c r="D604" s="5" t="str">
        <f>IF(E604="","","VEN-"&amp; TEXT(IF(COUNTIF(E$6:E604,E604)&gt;=1,MATCH(E604,$E$6:$E$1000,0),COUNTA(UNIQUE(E$6:E604))),"000"))</f>
        <v/>
      </c>
    </row>
    <row r="605" spans="4:4">
      <c r="D605" s="5" t="str">
        <f>IF(E605="","","VEN-"&amp; TEXT(IF(COUNTIF(E$6:E605,E605)&gt;=1,MATCH(E605,$E$6:$E$1000,0),COUNTA(UNIQUE(E$6:E605))),"000"))</f>
        <v/>
      </c>
    </row>
    <row r="606" spans="4:4">
      <c r="D606" s="5" t="str">
        <f>IF(E606="","","VEN-"&amp; TEXT(IF(COUNTIF(E$6:E606,E606)&gt;=1,MATCH(E606,$E$6:$E$1000,0),COUNTA(UNIQUE(E$6:E606))),"000"))</f>
        <v/>
      </c>
    </row>
    <row r="607" spans="4:4">
      <c r="D607" s="5" t="str">
        <f>IF(E607="","","VEN-"&amp; TEXT(IF(COUNTIF(E$6:E607,E607)&gt;=1,MATCH(E607,$E$6:$E$1000,0),COUNTA(UNIQUE(E$6:E607))),"000"))</f>
        <v/>
      </c>
    </row>
    <row r="608" spans="4:4">
      <c r="D608" s="5" t="str">
        <f>IF(E608="","","VEN-"&amp; TEXT(IF(COUNTIF(E$6:E608,E608)&gt;=1,MATCH(E608,$E$6:$E$1000,0),COUNTA(UNIQUE(E$6:E608))),"000"))</f>
        <v/>
      </c>
    </row>
    <row r="609" spans="4:4">
      <c r="D609" s="5" t="str">
        <f>IF(E609="","","VEN-"&amp; TEXT(IF(COUNTIF(E$6:E609,E609)&gt;=1,MATCH(E609,$E$6:$E$1000,0),COUNTA(UNIQUE(E$6:E609))),"000"))</f>
        <v/>
      </c>
    </row>
    <row r="610" spans="4:4">
      <c r="D610" s="5" t="str">
        <f>IF(E610="","","VEN-"&amp; TEXT(IF(COUNTIF(E$6:E610,E610)&gt;=1,MATCH(E610,$E$6:$E$1000,0),COUNTA(UNIQUE(E$6:E610))),"000"))</f>
        <v/>
      </c>
    </row>
    <row r="611" spans="4:4">
      <c r="D611" s="5" t="str">
        <f>IF(E611="","","VEN-"&amp; TEXT(IF(COUNTIF(E$6:E611,E611)&gt;=1,MATCH(E611,$E$6:$E$1000,0),COUNTA(UNIQUE(E$6:E611))),"000"))</f>
        <v/>
      </c>
    </row>
    <row r="612" spans="4:4">
      <c r="D612" s="5" t="str">
        <f>IF(E612="","","VEN-"&amp; TEXT(IF(COUNTIF(E$6:E612,E612)&gt;=1,MATCH(E612,$E$6:$E$1000,0),COUNTA(UNIQUE(E$6:E612))),"000"))</f>
        <v/>
      </c>
    </row>
    <row r="613" spans="4:4">
      <c r="D613" s="5" t="str">
        <f>IF(E613="","","VEN-"&amp; TEXT(IF(COUNTIF(E$6:E613,E613)&gt;=1,MATCH(E613,$E$6:$E$1000,0),COUNTA(UNIQUE(E$6:E613))),"000"))</f>
        <v/>
      </c>
    </row>
    <row r="614" spans="4:4">
      <c r="D614" s="5" t="str">
        <f>IF(E614="","","VEN-"&amp; TEXT(IF(COUNTIF(E$6:E614,E614)&gt;=1,MATCH(E614,$E$6:$E$1000,0),COUNTA(UNIQUE(E$6:E614))),"000"))</f>
        <v/>
      </c>
    </row>
    <row r="615" spans="4:4">
      <c r="D615" s="5" t="str">
        <f>IF(E615="","","VEN-"&amp; TEXT(IF(COUNTIF(E$6:E615,E615)&gt;=1,MATCH(E615,$E$6:$E$1000,0),COUNTA(UNIQUE(E$6:E615))),"000"))</f>
        <v/>
      </c>
    </row>
    <row r="616" spans="4:4">
      <c r="D616" s="5" t="str">
        <f>IF(E616="","","VEN-"&amp; TEXT(IF(COUNTIF(E$6:E616,E616)&gt;=1,MATCH(E616,$E$6:$E$1000,0),COUNTA(UNIQUE(E$6:E616))),"000"))</f>
        <v/>
      </c>
    </row>
    <row r="617" spans="4:4">
      <c r="D617" s="5" t="str">
        <f>IF(E617="","","VEN-"&amp; TEXT(IF(COUNTIF(E$6:E617,E617)&gt;=1,MATCH(E617,$E$6:$E$1000,0),COUNTA(UNIQUE(E$6:E617))),"000"))</f>
        <v/>
      </c>
    </row>
    <row r="618" spans="4:4">
      <c r="D618" s="5" t="str">
        <f>IF(E618="","","VEN-"&amp; TEXT(IF(COUNTIF(E$6:E618,E618)&gt;=1,MATCH(E618,$E$6:$E$1000,0),COUNTA(UNIQUE(E$6:E618))),"000"))</f>
        <v/>
      </c>
    </row>
    <row r="619" spans="4:4">
      <c r="D619" s="5" t="str">
        <f>IF(E619="","","VEN-"&amp; TEXT(IF(COUNTIF(E$6:E619,E619)&gt;=1,MATCH(E619,$E$6:$E$1000,0),COUNTA(UNIQUE(E$6:E619))),"000"))</f>
        <v/>
      </c>
    </row>
    <row r="620" spans="4:4">
      <c r="D620" s="5" t="str">
        <f>IF(E620="","","VEN-"&amp; TEXT(IF(COUNTIF(E$6:E620,E620)&gt;=1,MATCH(E620,$E$6:$E$1000,0),COUNTA(UNIQUE(E$6:E620))),"000"))</f>
        <v/>
      </c>
    </row>
    <row r="621" spans="4:4">
      <c r="D621" s="5" t="str">
        <f>IF(E621="","","VEN-"&amp; TEXT(IF(COUNTIF(E$6:E621,E621)&gt;=1,MATCH(E621,$E$6:$E$1000,0),COUNTA(UNIQUE(E$6:E621))),"000"))</f>
        <v/>
      </c>
    </row>
    <row r="622" spans="4:4">
      <c r="D622" s="5" t="str">
        <f>IF(E622="","","VEN-"&amp; TEXT(IF(COUNTIF(E$6:E622,E622)&gt;=1,MATCH(E622,$E$6:$E$1000,0),COUNTA(UNIQUE(E$6:E622))),"000"))</f>
        <v/>
      </c>
    </row>
    <row r="623" spans="4:4">
      <c r="D623" s="5" t="str">
        <f>IF(E623="","","VEN-"&amp; TEXT(IF(COUNTIF(E$6:E623,E623)&gt;=1,MATCH(E623,$E$6:$E$1000,0),COUNTA(UNIQUE(E$6:E623))),"000"))</f>
        <v/>
      </c>
    </row>
    <row r="624" spans="4:4">
      <c r="D624" s="5" t="str">
        <f>IF(E624="","","VEN-"&amp; TEXT(IF(COUNTIF(E$6:E624,E624)&gt;=1,MATCH(E624,$E$6:$E$1000,0),COUNTA(UNIQUE(E$6:E624))),"000"))</f>
        <v/>
      </c>
    </row>
    <row r="625" spans="4:4">
      <c r="D625" s="5" t="str">
        <f>IF(E625="","","VEN-"&amp; TEXT(IF(COUNTIF(E$6:E625,E625)&gt;=1,MATCH(E625,$E$6:$E$1000,0),COUNTA(UNIQUE(E$6:E625))),"000"))</f>
        <v/>
      </c>
    </row>
    <row r="626" spans="4:4">
      <c r="D626" s="5" t="str">
        <f>IF(E626="","","VEN-"&amp; TEXT(IF(COUNTIF(E$6:E626,E626)&gt;=1,MATCH(E626,$E$6:$E$1000,0),COUNTA(UNIQUE(E$6:E626))),"000"))</f>
        <v/>
      </c>
    </row>
    <row r="627" spans="4:4">
      <c r="D627" s="5" t="str">
        <f>IF(E627="","","VEN-"&amp; TEXT(IF(COUNTIF(E$6:E627,E627)&gt;=1,MATCH(E627,$E$6:$E$1000,0),COUNTA(UNIQUE(E$6:E627))),"000"))</f>
        <v/>
      </c>
    </row>
    <row r="628" spans="4:4">
      <c r="D628" s="5" t="str">
        <f>IF(E628="","","VEN-"&amp; TEXT(IF(COUNTIF(E$6:E628,E628)&gt;=1,MATCH(E628,$E$6:$E$1000,0),COUNTA(UNIQUE(E$6:E628))),"000"))</f>
        <v/>
      </c>
    </row>
    <row r="629" spans="4:4">
      <c r="D629" s="5" t="str">
        <f>IF(E629="","","VEN-"&amp; TEXT(IF(COUNTIF(E$6:E629,E629)&gt;=1,MATCH(E629,$E$6:$E$1000,0),COUNTA(UNIQUE(E$6:E629))),"000"))</f>
        <v/>
      </c>
    </row>
    <row r="630" spans="4:4">
      <c r="D630" s="5" t="str">
        <f>IF(E630="","","VEN-"&amp; TEXT(IF(COUNTIF(E$6:E630,E630)&gt;=1,MATCH(E630,$E$6:$E$1000,0),COUNTA(UNIQUE(E$6:E630))),"000"))</f>
        <v/>
      </c>
    </row>
    <row r="631" spans="4:4">
      <c r="D631" s="5" t="str">
        <f>IF(E631="","","VEN-"&amp; TEXT(IF(COUNTIF(E$6:E631,E631)&gt;=1,MATCH(E631,$E$6:$E$1000,0),COUNTA(UNIQUE(E$6:E631))),"000"))</f>
        <v/>
      </c>
    </row>
    <row r="632" spans="4:4">
      <c r="D632" s="5" t="str">
        <f>IF(E632="","","VEN-"&amp; TEXT(IF(COUNTIF(E$6:E632,E632)&gt;=1,MATCH(E632,$E$6:$E$1000,0),COUNTA(UNIQUE(E$6:E632))),"000"))</f>
        <v/>
      </c>
    </row>
    <row r="633" spans="4:4">
      <c r="D633" s="5" t="str">
        <f>IF(E633="","","VEN-"&amp; TEXT(IF(COUNTIF(E$6:E633,E633)&gt;=1,MATCH(E633,$E$6:$E$1000,0),COUNTA(UNIQUE(E$6:E633))),"000"))</f>
        <v/>
      </c>
    </row>
    <row r="634" spans="4:4">
      <c r="D634" s="5" t="str">
        <f>IF(E634="","","VEN-"&amp; TEXT(IF(COUNTIF(E$6:E634,E634)&gt;=1,MATCH(E634,$E$6:$E$1000,0),COUNTA(UNIQUE(E$6:E634))),"000"))</f>
        <v/>
      </c>
    </row>
    <row r="635" spans="4:4">
      <c r="D635" s="5" t="str">
        <f>IF(E635="","","VEN-"&amp; TEXT(IF(COUNTIF(E$6:E635,E635)&gt;=1,MATCH(E635,$E$6:$E$1000,0),COUNTA(UNIQUE(E$6:E635))),"000"))</f>
        <v/>
      </c>
    </row>
    <row r="636" spans="4:4">
      <c r="D636" s="5" t="str">
        <f>IF(E636="","","VEN-"&amp; TEXT(IF(COUNTIF(E$6:E636,E636)&gt;=1,MATCH(E636,$E$6:$E$1000,0),COUNTA(UNIQUE(E$6:E636))),"000"))</f>
        <v/>
      </c>
    </row>
    <row r="637" spans="4:4">
      <c r="D637" s="5" t="str">
        <f>IF(E637="","","VEN-"&amp; TEXT(IF(COUNTIF(E$6:E637,E637)&gt;=1,MATCH(E637,$E$6:$E$1000,0),COUNTA(UNIQUE(E$6:E637))),"000"))</f>
        <v/>
      </c>
    </row>
    <row r="638" spans="4:4">
      <c r="D638" s="5" t="str">
        <f>IF(E638="","","VEN-"&amp; TEXT(IF(COUNTIF(E$6:E638,E638)&gt;=1,MATCH(E638,$E$6:$E$1000,0),COUNTA(UNIQUE(E$6:E638))),"000"))</f>
        <v/>
      </c>
    </row>
    <row r="639" spans="4:4">
      <c r="D639" s="5" t="str">
        <f>IF(E639="","","VEN-"&amp; TEXT(IF(COUNTIF(E$6:E639,E639)&gt;=1,MATCH(E639,$E$6:$E$1000,0),COUNTA(UNIQUE(E$6:E639))),"000"))</f>
        <v/>
      </c>
    </row>
    <row r="640" spans="4:4">
      <c r="D640" s="5" t="str">
        <f>IF(E640="","","VEN-"&amp; TEXT(IF(COUNTIF(E$6:E640,E640)&gt;=1,MATCH(E640,$E$6:$E$1000,0),COUNTA(UNIQUE(E$6:E640))),"000"))</f>
        <v/>
      </c>
    </row>
    <row r="641" spans="4:4">
      <c r="D641" s="5" t="str">
        <f>IF(E641="","","VEN-"&amp; TEXT(IF(COUNTIF(E$6:E641,E641)&gt;=1,MATCH(E641,$E$6:$E$1000,0),COUNTA(UNIQUE(E$6:E641))),"000"))</f>
        <v/>
      </c>
    </row>
    <row r="642" spans="4:4">
      <c r="D642" s="5" t="str">
        <f>IF(E642="","","VEN-"&amp; TEXT(IF(COUNTIF(E$6:E642,E642)&gt;=1,MATCH(E642,$E$6:$E$1000,0),COUNTA(UNIQUE(E$6:E642))),"000"))</f>
        <v/>
      </c>
    </row>
    <row r="643" spans="4:4">
      <c r="D643" s="5" t="str">
        <f>IF(E643="","","VEN-"&amp; TEXT(IF(COUNTIF(E$6:E643,E643)&gt;=1,MATCH(E643,$E$6:$E$1000,0),COUNTA(UNIQUE(E$6:E643))),"000"))</f>
        <v/>
      </c>
    </row>
    <row r="644" spans="4:4">
      <c r="D644" s="5" t="str">
        <f>IF(E644="","","VEN-"&amp; TEXT(IF(COUNTIF(E$6:E644,E644)&gt;=1,MATCH(E644,$E$6:$E$1000,0),COUNTA(UNIQUE(E$6:E644))),"000"))</f>
        <v/>
      </c>
    </row>
    <row r="645" spans="4:4">
      <c r="D645" s="5" t="str">
        <f>IF(E645="","","VEN-"&amp; TEXT(IF(COUNTIF(E$6:E645,E645)&gt;=1,MATCH(E645,$E$6:$E$1000,0),COUNTA(UNIQUE(E$6:E645))),"000"))</f>
        <v/>
      </c>
    </row>
    <row r="646" spans="4:4">
      <c r="D646" s="5" t="str">
        <f>IF(E646="","","VEN-"&amp; TEXT(IF(COUNTIF(E$6:E646,E646)&gt;=1,MATCH(E646,$E$6:$E$1000,0),COUNTA(UNIQUE(E$6:E646))),"000"))</f>
        <v/>
      </c>
    </row>
    <row r="647" spans="4:4">
      <c r="D647" s="5" t="str">
        <f>IF(E647="","","VEN-"&amp; TEXT(IF(COUNTIF(E$6:E647,E647)&gt;=1,MATCH(E647,$E$6:$E$1000,0),COUNTA(UNIQUE(E$6:E647))),"000"))</f>
        <v/>
      </c>
    </row>
    <row r="648" spans="4:4">
      <c r="D648" s="5" t="str">
        <f>IF(E648="","","VEN-"&amp; TEXT(IF(COUNTIF(E$6:E648,E648)&gt;=1,MATCH(E648,$E$6:$E$1000,0),COUNTA(UNIQUE(E$6:E648))),"000"))</f>
        <v/>
      </c>
    </row>
    <row r="649" spans="4:4">
      <c r="D649" s="5" t="str">
        <f>IF(E649="","","VEN-"&amp; TEXT(IF(COUNTIF(E$6:E649,E649)&gt;=1,MATCH(E649,$E$6:$E$1000,0),COUNTA(UNIQUE(E$6:E649))),"000"))</f>
        <v/>
      </c>
    </row>
    <row r="650" spans="4:4">
      <c r="D650" s="5" t="str">
        <f>IF(E650="","","VEN-"&amp; TEXT(IF(COUNTIF(E$6:E650,E650)&gt;=1,MATCH(E650,$E$6:$E$1000,0),COUNTA(UNIQUE(E$6:E650))),"000"))</f>
        <v/>
      </c>
    </row>
    <row r="651" spans="4:4">
      <c r="D651" s="5" t="str">
        <f>IF(E651="","","VEN-"&amp; TEXT(IF(COUNTIF(E$6:E651,E651)&gt;=1,MATCH(E651,$E$6:$E$1000,0),COUNTA(UNIQUE(E$6:E651))),"000"))</f>
        <v/>
      </c>
    </row>
    <row r="652" spans="4:4">
      <c r="D652" s="5" t="str">
        <f>IF(E652="","","VEN-"&amp; TEXT(IF(COUNTIF(E$6:E652,E652)&gt;=1,MATCH(E652,$E$6:$E$1000,0),COUNTA(UNIQUE(E$6:E652))),"000"))</f>
        <v/>
      </c>
    </row>
    <row r="653" spans="4:4">
      <c r="D653" s="5" t="str">
        <f>IF(E653="","","VEN-"&amp; TEXT(IF(COUNTIF(E$6:E653,E653)&gt;=1,MATCH(E653,$E$6:$E$1000,0),COUNTA(UNIQUE(E$6:E653))),"000"))</f>
        <v/>
      </c>
    </row>
    <row r="654" spans="4:4">
      <c r="D654" s="5" t="str">
        <f>IF(E654="","","VEN-"&amp; TEXT(IF(COUNTIF(E$6:E654,E654)&gt;=1,MATCH(E654,$E$6:$E$1000,0),COUNTA(UNIQUE(E$6:E654))),"000"))</f>
        <v/>
      </c>
    </row>
    <row r="655" spans="4:4">
      <c r="D655" s="5" t="str">
        <f>IF(E655="","","VEN-"&amp; TEXT(IF(COUNTIF(E$6:E655,E655)&gt;=1,MATCH(E655,$E$6:$E$1000,0),COUNTA(UNIQUE(E$6:E655))),"000"))</f>
        <v/>
      </c>
    </row>
    <row r="656" spans="4:4">
      <c r="D656" s="5" t="str">
        <f>IF(E656="","","VEN-"&amp; TEXT(IF(COUNTIF(E$6:E656,E656)&gt;=1,MATCH(E656,$E$6:$E$1000,0),COUNTA(UNIQUE(E$6:E656))),"000"))</f>
        <v/>
      </c>
    </row>
    <row r="657" spans="4:4">
      <c r="D657" s="5" t="str">
        <f>IF(E657="","","VEN-"&amp; TEXT(IF(COUNTIF(E$6:E657,E657)&gt;=1,MATCH(E657,$E$6:$E$1000,0),COUNTA(UNIQUE(E$6:E657))),"000"))</f>
        <v/>
      </c>
    </row>
    <row r="658" spans="4:4">
      <c r="D658" s="5" t="str">
        <f>IF(E658="","","VEN-"&amp; TEXT(IF(COUNTIF(E$6:E658,E658)&gt;=1,MATCH(E658,$E$6:$E$1000,0),COUNTA(UNIQUE(E$6:E658))),"000"))</f>
        <v/>
      </c>
    </row>
    <row r="659" spans="4:4">
      <c r="D659" s="5" t="str">
        <f>IF(E659="","","VEN-"&amp; TEXT(IF(COUNTIF(E$6:E659,E659)&gt;=1,MATCH(E659,$E$6:$E$1000,0),COUNTA(UNIQUE(E$6:E659))),"000"))</f>
        <v/>
      </c>
    </row>
    <row r="660" spans="4:4">
      <c r="D660" s="5" t="str">
        <f>IF(E660="","","VEN-"&amp; TEXT(IF(COUNTIF(E$6:E660,E660)&gt;=1,MATCH(E660,$E$6:$E$1000,0),COUNTA(UNIQUE(E$6:E660))),"000"))</f>
        <v/>
      </c>
    </row>
    <row r="661" spans="4:4">
      <c r="D661" s="5" t="str">
        <f>IF(E661="","","VEN-"&amp; TEXT(IF(COUNTIF(E$6:E661,E661)&gt;=1,MATCH(E661,$E$6:$E$1000,0),COUNTA(UNIQUE(E$6:E661))),"000"))</f>
        <v/>
      </c>
    </row>
    <row r="662" spans="4:4">
      <c r="D662" s="5" t="str">
        <f>IF(E662="","","VEN-"&amp; TEXT(IF(COUNTIF(E$6:E662,E662)&gt;=1,MATCH(E662,$E$6:$E$1000,0),COUNTA(UNIQUE(E$6:E662))),"000"))</f>
        <v/>
      </c>
    </row>
    <row r="663" spans="4:4">
      <c r="D663" s="5" t="str">
        <f>IF(E663="","","VEN-"&amp; TEXT(IF(COUNTIF(E$6:E663,E663)&gt;=1,MATCH(E663,$E$6:$E$1000,0),COUNTA(UNIQUE(E$6:E663))),"000"))</f>
        <v/>
      </c>
    </row>
    <row r="664" spans="4:4">
      <c r="D664" s="5" t="str">
        <f>IF(E664="","","VEN-"&amp; TEXT(IF(COUNTIF(E$6:E664,E664)&gt;=1,MATCH(E664,$E$6:$E$1000,0),COUNTA(UNIQUE(E$6:E664))),"000"))</f>
        <v/>
      </c>
    </row>
    <row r="665" spans="4:4">
      <c r="D665" s="5" t="str">
        <f>IF(E665="","","VEN-"&amp; TEXT(IF(COUNTIF(E$6:E665,E665)&gt;=1,MATCH(E665,$E$6:$E$1000,0),COUNTA(UNIQUE(E$6:E665))),"000"))</f>
        <v/>
      </c>
    </row>
    <row r="666" spans="4:4">
      <c r="D666" s="5" t="str">
        <f>IF(E666="","","VEN-"&amp; TEXT(IF(COUNTIF(E$6:E666,E666)&gt;=1,MATCH(E666,$E$6:$E$1000,0),COUNTA(UNIQUE(E$6:E666))),"000"))</f>
        <v/>
      </c>
    </row>
    <row r="667" spans="4:4">
      <c r="D667" s="5" t="str">
        <f>IF(E667="","","VEN-"&amp; TEXT(IF(COUNTIF(E$6:E667,E667)&gt;=1,MATCH(E667,$E$6:$E$1000,0),COUNTA(UNIQUE(E$6:E667))),"000"))</f>
        <v/>
      </c>
    </row>
    <row r="668" spans="4:4">
      <c r="D668" s="5" t="str">
        <f>IF(E668="","","VEN-"&amp; TEXT(IF(COUNTIF(E$6:E668,E668)&gt;=1,MATCH(E668,$E$6:$E$1000,0),COUNTA(UNIQUE(E$6:E668))),"000"))</f>
        <v/>
      </c>
    </row>
    <row r="669" spans="4:4">
      <c r="D669" s="5" t="str">
        <f>IF(E669="","","VEN-"&amp; TEXT(IF(COUNTIF(E$6:E669,E669)&gt;=1,MATCH(E669,$E$6:$E$1000,0),COUNTA(UNIQUE(E$6:E669))),"000"))</f>
        <v/>
      </c>
    </row>
    <row r="670" spans="4:4">
      <c r="D670" s="5" t="str">
        <f>IF(E670="","","VEN-"&amp; TEXT(IF(COUNTIF(E$6:E670,E670)&gt;=1,MATCH(E670,$E$6:$E$1000,0),COUNTA(UNIQUE(E$6:E670))),"000"))</f>
        <v/>
      </c>
    </row>
    <row r="671" spans="4:4">
      <c r="D671" s="5" t="str">
        <f>IF(E671="","","VEN-"&amp; TEXT(IF(COUNTIF(E$6:E671,E671)&gt;=1,MATCH(E671,$E$6:$E$1000,0),COUNTA(UNIQUE(E$6:E671))),"000"))</f>
        <v/>
      </c>
    </row>
    <row r="672" spans="4:4">
      <c r="D672" s="5" t="str">
        <f>IF(E672="","","VEN-"&amp; TEXT(IF(COUNTIF(E$6:E672,E672)&gt;=1,MATCH(E672,$E$6:$E$1000,0),COUNTA(UNIQUE(E$6:E672))),"000"))</f>
        <v/>
      </c>
    </row>
    <row r="673" spans="4:4">
      <c r="D673" s="5" t="str">
        <f>IF(E673="","","VEN-"&amp; TEXT(IF(COUNTIF(E$6:E673,E673)&gt;=1,MATCH(E673,$E$6:$E$1000,0),COUNTA(UNIQUE(E$6:E673))),"000"))</f>
        <v/>
      </c>
    </row>
    <row r="674" spans="4:4">
      <c r="D674" s="5" t="str">
        <f>IF(E674="","","VEN-"&amp; TEXT(IF(COUNTIF(E$6:E674,E674)&gt;=1,MATCH(E674,$E$6:$E$1000,0),COUNTA(UNIQUE(E$6:E674))),"000"))</f>
        <v/>
      </c>
    </row>
    <row r="675" spans="4:4">
      <c r="D675" s="5" t="str">
        <f>IF(E675="","","VEN-"&amp; TEXT(IF(COUNTIF(E$6:E675,E675)&gt;=1,MATCH(E675,$E$6:$E$1000,0),COUNTA(UNIQUE(E$6:E675))),"000"))</f>
        <v/>
      </c>
    </row>
    <row r="676" spans="4:4">
      <c r="D676" s="5" t="str">
        <f>IF(E676="","","VEN-"&amp; TEXT(IF(COUNTIF(E$6:E676,E676)&gt;=1,MATCH(E676,$E$6:$E$1000,0),COUNTA(UNIQUE(E$6:E676))),"000"))</f>
        <v/>
      </c>
    </row>
    <row r="677" spans="4:4">
      <c r="D677" s="5" t="str">
        <f>IF(E677="","","VEN-"&amp; TEXT(IF(COUNTIF(E$6:E677,E677)&gt;=1,MATCH(E677,$E$6:$E$1000,0),COUNTA(UNIQUE(E$6:E677))),"000"))</f>
        <v/>
      </c>
    </row>
    <row r="678" spans="4:4">
      <c r="D678" s="5" t="str">
        <f>IF(E678="","","VEN-"&amp; TEXT(IF(COUNTIF(E$6:E678,E678)&gt;=1,MATCH(E678,$E$6:$E$1000,0),COUNTA(UNIQUE(E$6:E678))),"000"))</f>
        <v/>
      </c>
    </row>
    <row r="679" spans="4:4">
      <c r="D679" s="5" t="str">
        <f>IF(E679="","","VEN-"&amp; TEXT(IF(COUNTIF(E$6:E679,E679)&gt;=1,MATCH(E679,$E$6:$E$1000,0),COUNTA(UNIQUE(E$6:E679))),"000"))</f>
        <v/>
      </c>
    </row>
    <row r="680" spans="4:4">
      <c r="D680" s="5" t="str">
        <f>IF(E680="","","VEN-"&amp; TEXT(IF(COUNTIF(E$6:E680,E680)&gt;=1,MATCH(E680,$E$6:$E$1000,0),COUNTA(UNIQUE(E$6:E680))),"000"))</f>
        <v/>
      </c>
    </row>
    <row r="681" spans="4:4">
      <c r="D681" s="5" t="str">
        <f>IF(E681="","","VEN-"&amp; TEXT(IF(COUNTIF(E$6:E681,E681)&gt;=1,MATCH(E681,$E$6:$E$1000,0),COUNTA(UNIQUE(E$6:E681))),"000"))</f>
        <v/>
      </c>
    </row>
    <row r="682" spans="4:4">
      <c r="D682" s="5" t="str">
        <f>IF(E682="","","VEN-"&amp; TEXT(IF(COUNTIF(E$6:E682,E682)&gt;=1,MATCH(E682,$E$6:$E$1000,0),COUNTA(UNIQUE(E$6:E682))),"000"))</f>
        <v/>
      </c>
    </row>
    <row r="683" spans="4:4">
      <c r="D683" s="5" t="str">
        <f>IF(E683="","","VEN-"&amp; TEXT(IF(COUNTIF(E$6:E683,E683)&gt;=1,MATCH(E683,$E$6:$E$1000,0),COUNTA(UNIQUE(E$6:E683))),"000"))</f>
        <v/>
      </c>
    </row>
    <row r="684" spans="4:4">
      <c r="D684" s="5" t="str">
        <f>IF(E684="","","VEN-"&amp; TEXT(IF(COUNTIF(E$6:E684,E684)&gt;=1,MATCH(E684,$E$6:$E$1000,0),COUNTA(UNIQUE(E$6:E684))),"000"))</f>
        <v/>
      </c>
    </row>
    <row r="685" spans="4:4">
      <c r="D685" s="5" t="str">
        <f>IF(E685="","","VEN-"&amp; TEXT(IF(COUNTIF(E$6:E685,E685)&gt;=1,MATCH(E685,$E$6:$E$1000,0),COUNTA(UNIQUE(E$6:E685))),"000"))</f>
        <v/>
      </c>
    </row>
    <row r="686" spans="4:4">
      <c r="D686" s="5" t="str">
        <f>IF(E686="","","VEN-"&amp; TEXT(IF(COUNTIF(E$6:E686,E686)&gt;=1,MATCH(E686,$E$6:$E$1000,0),COUNTA(UNIQUE(E$6:E686))),"000"))</f>
        <v/>
      </c>
    </row>
    <row r="687" spans="4:4">
      <c r="D687" s="5" t="str">
        <f>IF(E687="","","VEN-"&amp; TEXT(IF(COUNTIF(E$6:E687,E687)&gt;=1,MATCH(E687,$E$6:$E$1000,0),COUNTA(UNIQUE(E$6:E687))),"000"))</f>
        <v/>
      </c>
    </row>
    <row r="688" spans="4:4">
      <c r="D688" s="5" t="str">
        <f>IF(E688="","","VEN-"&amp; TEXT(IF(COUNTIF(E$6:E688,E688)&gt;=1,MATCH(E688,$E$6:$E$1000,0),COUNTA(UNIQUE(E$6:E688))),"000"))</f>
        <v/>
      </c>
    </row>
    <row r="689" spans="4:4">
      <c r="D689" s="5" t="str">
        <f>IF(E689="","","VEN-"&amp; TEXT(IF(COUNTIF(E$6:E689,E689)&gt;=1,MATCH(E689,$E$6:$E$1000,0),COUNTA(UNIQUE(E$6:E689))),"000"))</f>
        <v/>
      </c>
    </row>
    <row r="690" spans="4:4">
      <c r="D690" s="5" t="str">
        <f>IF(E690="","","VEN-"&amp; TEXT(IF(COUNTIF(E$6:E690,E690)&gt;=1,MATCH(E690,$E$6:$E$1000,0),COUNTA(UNIQUE(E$6:E690))),"000"))</f>
        <v/>
      </c>
    </row>
    <row r="691" spans="4:4">
      <c r="D691" s="5" t="str">
        <f>IF(E691="","","VEN-"&amp; TEXT(IF(COUNTIF(E$6:E691,E691)&gt;=1,MATCH(E691,$E$6:$E$1000,0),COUNTA(UNIQUE(E$6:E691))),"000"))</f>
        <v/>
      </c>
    </row>
    <row r="692" spans="4:4">
      <c r="D692" s="5" t="str">
        <f>IF(E692="","","VEN-"&amp; TEXT(IF(COUNTIF(E$6:E692,E692)&gt;=1,MATCH(E692,$E$6:$E$1000,0),COUNTA(UNIQUE(E$6:E692))),"000"))</f>
        <v/>
      </c>
    </row>
    <row r="693" spans="4:4">
      <c r="D693" s="5" t="str">
        <f>IF(E693="","","VEN-"&amp; TEXT(IF(COUNTIF(E$6:E693,E693)&gt;=1,MATCH(E693,$E$6:$E$1000,0),COUNTA(UNIQUE(E$6:E693))),"000"))</f>
        <v/>
      </c>
    </row>
    <row r="694" spans="4:4">
      <c r="D694" s="5" t="str">
        <f>IF(E694="","","VEN-"&amp; TEXT(IF(COUNTIF(E$6:E694,E694)&gt;=1,MATCH(E694,$E$6:$E$1000,0),COUNTA(UNIQUE(E$6:E694))),"000"))</f>
        <v/>
      </c>
    </row>
    <row r="695" spans="4:4">
      <c r="D695" s="5" t="str">
        <f>IF(E695="","","VEN-"&amp; TEXT(IF(COUNTIF(E$6:E695,E695)&gt;=1,MATCH(E695,$E$6:$E$1000,0),COUNTA(UNIQUE(E$6:E695))),"000"))</f>
        <v/>
      </c>
    </row>
    <row r="696" spans="4:4">
      <c r="D696" s="5" t="str">
        <f>IF(E696="","","VEN-"&amp; TEXT(IF(COUNTIF(E$6:E696,E696)&gt;=1,MATCH(E696,$E$6:$E$1000,0),COUNTA(UNIQUE(E$6:E696))),"000"))</f>
        <v/>
      </c>
    </row>
    <row r="697" spans="4:4">
      <c r="D697" s="5" t="str">
        <f>IF(E697="","","VEN-"&amp; TEXT(IF(COUNTIF(E$6:E697,E697)&gt;=1,MATCH(E697,$E$6:$E$1000,0),COUNTA(UNIQUE(E$6:E697))),"000"))</f>
        <v/>
      </c>
    </row>
    <row r="698" spans="4:4">
      <c r="D698" s="5" t="str">
        <f>IF(E698="","","VEN-"&amp; TEXT(IF(COUNTIF(E$6:E698,E698)&gt;=1,MATCH(E698,$E$6:$E$1000,0),COUNTA(UNIQUE(E$6:E698))),"000"))</f>
        <v/>
      </c>
    </row>
    <row r="699" spans="4:4">
      <c r="D699" s="5" t="str">
        <f>IF(E699="","","VEN-"&amp; TEXT(IF(COUNTIF(E$6:E699,E699)&gt;=1,MATCH(E699,$E$6:$E$1000,0),COUNTA(UNIQUE(E$6:E699))),"000"))</f>
        <v/>
      </c>
    </row>
    <row r="700" spans="4:4">
      <c r="D700" s="5" t="str">
        <f>IF(E700="","","VEN-"&amp; TEXT(IF(COUNTIF(E$6:E700,E700)&gt;=1,MATCH(E700,$E$6:$E$1000,0),COUNTA(UNIQUE(E$6:E700))),"000"))</f>
        <v/>
      </c>
    </row>
    <row r="701" spans="4:4">
      <c r="D701" s="5" t="str">
        <f>IF(E701="","","VEN-"&amp; TEXT(IF(COUNTIF(E$6:E701,E701)&gt;=1,MATCH(E701,$E$6:$E$1000,0),COUNTA(UNIQUE(E$6:E701))),"000"))</f>
        <v/>
      </c>
    </row>
    <row r="702" spans="4:4">
      <c r="D702" s="5" t="str">
        <f>IF(E702="","","VEN-"&amp; TEXT(IF(COUNTIF(E$6:E702,E702)&gt;=1,MATCH(E702,$E$6:$E$1000,0),COUNTA(UNIQUE(E$6:E702))),"000"))</f>
        <v/>
      </c>
    </row>
    <row r="703" spans="4:4">
      <c r="D703" s="5" t="str">
        <f>IF(E703="","","VEN-"&amp; TEXT(IF(COUNTIF(E$6:E703,E703)&gt;=1,MATCH(E703,$E$6:$E$1000,0),COUNTA(UNIQUE(E$6:E703))),"000"))</f>
        <v/>
      </c>
    </row>
    <row r="704" spans="4:4">
      <c r="D704" s="5" t="str">
        <f>IF(E704="","","VEN-"&amp; TEXT(IF(COUNTIF(E$6:E704,E704)&gt;=1,MATCH(E704,$E$6:$E$1000,0),COUNTA(UNIQUE(E$6:E704))),"000"))</f>
        <v/>
      </c>
    </row>
    <row r="705" spans="4:4">
      <c r="D705" s="5" t="str">
        <f>IF(E705="","","VEN-"&amp; TEXT(IF(COUNTIF(E$6:E705,E705)&gt;=1,MATCH(E705,$E$6:$E$1000,0),COUNTA(UNIQUE(E$6:E705))),"000"))</f>
        <v/>
      </c>
    </row>
    <row r="706" spans="4:4">
      <c r="D706" s="5" t="str">
        <f>IF(E706="","","VEN-"&amp; TEXT(IF(COUNTIF(E$6:E706,E706)&gt;=1,MATCH(E706,$E$6:$E$1000,0),COUNTA(UNIQUE(E$6:E706))),"000"))</f>
        <v/>
      </c>
    </row>
    <row r="707" spans="4:4">
      <c r="D707" s="5" t="str">
        <f>IF(E707="","","VEN-"&amp; TEXT(IF(COUNTIF(E$6:E707,E707)&gt;=1,MATCH(E707,$E$6:$E$1000,0),COUNTA(UNIQUE(E$6:E707))),"000"))</f>
        <v/>
      </c>
    </row>
    <row r="708" spans="4:4">
      <c r="D708" s="5" t="str">
        <f>IF(E708="","","VEN-"&amp; TEXT(IF(COUNTIF(E$6:E708,E708)&gt;=1,MATCH(E708,$E$6:$E$1000,0),COUNTA(UNIQUE(E$6:E708))),"000"))</f>
        <v/>
      </c>
    </row>
    <row r="709" spans="4:4">
      <c r="D709" s="5" t="str">
        <f>IF(E709="","","VEN-"&amp; TEXT(IF(COUNTIF(E$6:E709,E709)&gt;=1,MATCH(E709,$E$6:$E$1000,0),COUNTA(UNIQUE(E$6:E709))),"000"))</f>
        <v/>
      </c>
    </row>
    <row r="710" spans="4:4">
      <c r="D710" s="5" t="str">
        <f>IF(E710="","","VEN-"&amp; TEXT(IF(COUNTIF(E$6:E710,E710)&gt;=1,MATCH(E710,$E$6:$E$1000,0),COUNTA(UNIQUE(E$6:E710))),"000"))</f>
        <v/>
      </c>
    </row>
    <row r="711" spans="4:4">
      <c r="D711" s="5" t="str">
        <f>IF(E711="","","VEN-"&amp; TEXT(IF(COUNTIF(E$6:E711,E711)&gt;=1,MATCH(E711,$E$6:$E$1000,0),COUNTA(UNIQUE(E$6:E711))),"000"))</f>
        <v/>
      </c>
    </row>
    <row r="712" spans="4:4">
      <c r="D712" s="5" t="str">
        <f>IF(E712="","","VEN-"&amp; TEXT(IF(COUNTIF(E$6:E712,E712)&gt;=1,MATCH(E712,$E$6:$E$1000,0),COUNTA(UNIQUE(E$6:E712))),"000"))</f>
        <v/>
      </c>
    </row>
    <row r="713" spans="4:4">
      <c r="D713" s="5" t="str">
        <f>IF(E713="","","VEN-"&amp; TEXT(IF(COUNTIF(E$6:E713,E713)&gt;=1,MATCH(E713,$E$6:$E$1000,0),COUNTA(UNIQUE(E$6:E713))),"000"))</f>
        <v/>
      </c>
    </row>
    <row r="714" spans="4:4">
      <c r="D714" s="5" t="str">
        <f>IF(E714="","","VEN-"&amp; TEXT(IF(COUNTIF(E$6:E714,E714)&gt;=1,MATCH(E714,$E$6:$E$1000,0),COUNTA(UNIQUE(E$6:E714))),"000"))</f>
        <v/>
      </c>
    </row>
    <row r="715" spans="4:4">
      <c r="D715" s="5" t="str">
        <f>IF(E715="","","VEN-"&amp; TEXT(IF(COUNTIF(E$6:E715,E715)&gt;=1,MATCH(E715,$E$6:$E$1000,0),COUNTA(UNIQUE(E$6:E715))),"000"))</f>
        <v/>
      </c>
    </row>
    <row r="716" spans="4:4">
      <c r="D716" s="5" t="str">
        <f>IF(E716="","","VEN-"&amp; TEXT(IF(COUNTIF(E$6:E716,E716)&gt;=1,MATCH(E716,$E$6:$E$1000,0),COUNTA(UNIQUE(E$6:E716))),"000"))</f>
        <v/>
      </c>
    </row>
    <row r="717" spans="4:4">
      <c r="D717" s="5" t="str">
        <f>IF(E717="","","VEN-"&amp; TEXT(IF(COUNTIF(E$6:E717,E717)&gt;=1,MATCH(E717,$E$6:$E$1000,0),COUNTA(UNIQUE(E$6:E717))),"000"))</f>
        <v/>
      </c>
    </row>
    <row r="718" spans="4:4">
      <c r="D718" s="5" t="str">
        <f>IF(E718="","","VEN-"&amp; TEXT(IF(COUNTIF(E$6:E718,E718)&gt;=1,MATCH(E718,$E$6:$E$1000,0),COUNTA(UNIQUE(E$6:E718))),"000"))</f>
        <v/>
      </c>
    </row>
    <row r="719" spans="4:4">
      <c r="D719" s="5" t="str">
        <f>IF(E719="","","VEN-"&amp; TEXT(IF(COUNTIF(E$6:E719,E719)&gt;=1,MATCH(E719,$E$6:$E$1000,0),COUNTA(UNIQUE(E$6:E719))),"000"))</f>
        <v/>
      </c>
    </row>
    <row r="720" spans="4:4">
      <c r="D720" s="5" t="str">
        <f>IF(E720="","","VEN-"&amp; TEXT(IF(COUNTIF(E$6:E720,E720)&gt;=1,MATCH(E720,$E$6:$E$1000,0),COUNTA(UNIQUE(E$6:E720))),"000"))</f>
        <v/>
      </c>
    </row>
    <row r="721" spans="4:4">
      <c r="D721" s="5" t="str">
        <f>IF(E721="","","VEN-"&amp; TEXT(IF(COUNTIF(E$6:E721,E721)&gt;=1,MATCH(E721,$E$6:$E$1000,0),COUNTA(UNIQUE(E$6:E721))),"000"))</f>
        <v/>
      </c>
    </row>
    <row r="722" spans="4:4">
      <c r="D722" s="5" t="str">
        <f>IF(E722="","","VEN-"&amp; TEXT(IF(COUNTIF(E$6:E722,E722)&gt;=1,MATCH(E722,$E$6:$E$1000,0),COUNTA(UNIQUE(E$6:E722))),"000"))</f>
        <v/>
      </c>
    </row>
    <row r="723" spans="4:4">
      <c r="D723" s="5" t="str">
        <f>IF(E723="","","VEN-"&amp; TEXT(IF(COUNTIF(E$6:E723,E723)&gt;=1,MATCH(E723,$E$6:$E$1000,0),COUNTA(UNIQUE(E$6:E723))),"000"))</f>
        <v/>
      </c>
    </row>
    <row r="724" spans="4:4">
      <c r="D724" s="5" t="str">
        <f>IF(E724="","","VEN-"&amp; TEXT(IF(COUNTIF(E$6:E724,E724)&gt;=1,MATCH(E724,$E$6:$E$1000,0),COUNTA(UNIQUE(E$6:E724))),"000"))</f>
        <v/>
      </c>
    </row>
    <row r="725" spans="4:4">
      <c r="D725" s="5" t="str">
        <f>IF(E725="","","VEN-"&amp; TEXT(IF(COUNTIF(E$6:E725,E725)&gt;=1,MATCH(E725,$E$6:$E$1000,0),COUNTA(UNIQUE(E$6:E725))),"000"))</f>
        <v/>
      </c>
    </row>
    <row r="726" spans="4:4">
      <c r="D726" s="5" t="str">
        <f>IF(E726="","","VEN-"&amp; TEXT(IF(COUNTIF(E$6:E726,E726)&gt;=1,MATCH(E726,$E$6:$E$1000,0),COUNTA(UNIQUE(E$6:E726))),"000"))</f>
        <v/>
      </c>
    </row>
    <row r="727" spans="4:4">
      <c r="D727" s="5" t="str">
        <f>IF(E727="","","VEN-"&amp; TEXT(IF(COUNTIF(E$6:E727,E727)&gt;=1,MATCH(E727,$E$6:$E$1000,0),COUNTA(UNIQUE(E$6:E727))),"000"))</f>
        <v/>
      </c>
    </row>
    <row r="728" spans="4:4">
      <c r="D728" s="5" t="str">
        <f>IF(E728="","","VEN-"&amp; TEXT(IF(COUNTIF(E$6:E728,E728)&gt;=1,MATCH(E728,$E$6:$E$1000,0),COUNTA(UNIQUE(E$6:E728))),"000"))</f>
        <v/>
      </c>
    </row>
    <row r="729" spans="4:4">
      <c r="D729" s="5" t="str">
        <f>IF(E729="","","VEN-"&amp; TEXT(IF(COUNTIF(E$6:E729,E729)&gt;=1,MATCH(E729,$E$6:$E$1000,0),COUNTA(UNIQUE(E$6:E729))),"000"))</f>
        <v/>
      </c>
    </row>
    <row r="730" spans="4:4">
      <c r="D730" s="5" t="str">
        <f>IF(E730="","","VEN-"&amp; TEXT(IF(COUNTIF(E$6:E730,E730)&gt;=1,MATCH(E730,$E$6:$E$1000,0),COUNTA(UNIQUE(E$6:E730))),"000"))</f>
        <v/>
      </c>
    </row>
    <row r="731" spans="4:4">
      <c r="D731" s="5" t="str">
        <f>IF(E731="","","VEN-"&amp; TEXT(IF(COUNTIF(E$6:E731,E731)&gt;=1,MATCH(E731,$E$6:$E$1000,0),COUNTA(UNIQUE(E$6:E731))),"000"))</f>
        <v/>
      </c>
    </row>
    <row r="732" spans="4:4">
      <c r="D732" s="5" t="str">
        <f>IF(E732="","","VEN-"&amp; TEXT(IF(COUNTIF(E$6:E732,E732)&gt;=1,MATCH(E732,$E$6:$E$1000,0),COUNTA(UNIQUE(E$6:E732))),"000"))</f>
        <v/>
      </c>
    </row>
    <row r="733" spans="4:4">
      <c r="D733" s="5" t="str">
        <f>IF(E733="","","VEN-"&amp; TEXT(IF(COUNTIF(E$6:E733,E733)&gt;=1,MATCH(E733,$E$6:$E$1000,0),COUNTA(UNIQUE(E$6:E733))),"000"))</f>
        <v/>
      </c>
    </row>
    <row r="734" spans="4:4">
      <c r="D734" s="5" t="str">
        <f>IF(E734="","","VEN-"&amp; TEXT(IF(COUNTIF(E$6:E734,E734)&gt;=1,MATCH(E734,$E$6:$E$1000,0),COUNTA(UNIQUE(E$6:E734))),"000"))</f>
        <v/>
      </c>
    </row>
    <row r="735" spans="4:4">
      <c r="D735" s="5" t="str">
        <f>IF(E735="","","VEN-"&amp; TEXT(IF(COUNTIF(E$6:E735,E735)&gt;=1,MATCH(E735,$E$6:$E$1000,0),COUNTA(UNIQUE(E$6:E735))),"000"))</f>
        <v/>
      </c>
    </row>
    <row r="736" spans="4:4">
      <c r="D736" s="5" t="str">
        <f>IF(E736="","","VEN-"&amp; TEXT(IF(COUNTIF(E$6:E736,E736)&gt;=1,MATCH(E736,$E$6:$E$1000,0),COUNTA(UNIQUE(E$6:E736))),"000"))</f>
        <v/>
      </c>
    </row>
    <row r="737" spans="4:4">
      <c r="D737" s="5" t="str">
        <f>IF(E737="","","VEN-"&amp; TEXT(IF(COUNTIF(E$6:E737,E737)&gt;=1,MATCH(E737,$E$6:$E$1000,0),COUNTA(UNIQUE(E$6:E737))),"000"))</f>
        <v/>
      </c>
    </row>
    <row r="738" spans="4:4">
      <c r="D738" s="5" t="str">
        <f>IF(E738="","","VEN-"&amp; TEXT(IF(COUNTIF(E$6:E738,E738)&gt;=1,MATCH(E738,$E$6:$E$1000,0),COUNTA(UNIQUE(E$6:E738))),"000"))</f>
        <v/>
      </c>
    </row>
    <row r="739" spans="4:4">
      <c r="D739" s="5" t="str">
        <f>IF(E739="","","VEN-"&amp; TEXT(IF(COUNTIF(E$6:E739,E739)&gt;=1,MATCH(E739,$E$6:$E$1000,0),COUNTA(UNIQUE(E$6:E739))),"000"))</f>
        <v/>
      </c>
    </row>
    <row r="740" spans="4:4">
      <c r="D740" s="5" t="str">
        <f>IF(E740="","","VEN-"&amp; TEXT(IF(COUNTIF(E$6:E740,E740)&gt;=1,MATCH(E740,$E$6:$E$1000,0),COUNTA(UNIQUE(E$6:E740))),"000"))</f>
        <v/>
      </c>
    </row>
    <row r="741" spans="4:4">
      <c r="D741" s="5" t="str">
        <f>IF(E741="","","VEN-"&amp; TEXT(IF(COUNTIF(E$6:E741,E741)&gt;=1,MATCH(E741,$E$6:$E$1000,0),COUNTA(UNIQUE(E$6:E741))),"000"))</f>
        <v/>
      </c>
    </row>
    <row r="742" spans="4:4">
      <c r="D742" s="5" t="str">
        <f>IF(E742="","","VEN-"&amp; TEXT(IF(COUNTIF(E$6:E742,E742)&gt;=1,MATCH(E742,$E$6:$E$1000,0),COUNTA(UNIQUE(E$6:E742))),"000"))</f>
        <v/>
      </c>
    </row>
    <row r="743" spans="4:4">
      <c r="D743" s="5" t="str">
        <f>IF(E743="","","VEN-"&amp; TEXT(IF(COUNTIF(E$6:E743,E743)&gt;=1,MATCH(E743,$E$6:$E$1000,0),COUNTA(UNIQUE(E$6:E743))),"000"))</f>
        <v/>
      </c>
    </row>
    <row r="744" spans="4:4">
      <c r="D744" s="5" t="str">
        <f>IF(E744="","","VEN-"&amp; TEXT(IF(COUNTIF(E$6:E744,E744)&gt;=1,MATCH(E744,$E$6:$E$1000,0),COUNTA(UNIQUE(E$6:E744))),"000"))</f>
        <v/>
      </c>
    </row>
    <row r="745" spans="4:4">
      <c r="D745" s="5" t="str">
        <f>IF(E745="","","VEN-"&amp; TEXT(IF(COUNTIF(E$6:E745,E745)&gt;=1,MATCH(E745,$E$6:$E$1000,0),COUNTA(UNIQUE(E$6:E745))),"000"))</f>
        <v/>
      </c>
    </row>
    <row r="746" spans="4:4">
      <c r="D746" s="5" t="str">
        <f>IF(E746="","","VEN-"&amp; TEXT(IF(COUNTIF(E$6:E746,E746)&gt;=1,MATCH(E746,$E$6:$E$1000,0),COUNTA(UNIQUE(E$6:E746))),"000"))</f>
        <v/>
      </c>
    </row>
    <row r="747" spans="4:4">
      <c r="D747" s="5" t="str">
        <f>IF(E747="","","VEN-"&amp; TEXT(IF(COUNTIF(E$6:E747,E747)&gt;=1,MATCH(E747,$E$6:$E$1000,0),COUNTA(UNIQUE(E$6:E747))),"000"))</f>
        <v/>
      </c>
    </row>
    <row r="748" spans="4:4">
      <c r="D748" s="5" t="str">
        <f>IF(E748="","","VEN-"&amp; TEXT(IF(COUNTIF(E$6:E748,E748)&gt;=1,MATCH(E748,$E$6:$E$1000,0),COUNTA(UNIQUE(E$6:E748))),"000"))</f>
        <v/>
      </c>
    </row>
    <row r="749" spans="4:4">
      <c r="D749" s="5" t="str">
        <f>IF(E749="","","VEN-"&amp; TEXT(IF(COUNTIF(E$6:E749,E749)&gt;=1,MATCH(E749,$E$6:$E$1000,0),COUNTA(UNIQUE(E$6:E749))),"000"))</f>
        <v/>
      </c>
    </row>
    <row r="750" spans="4:4">
      <c r="D750" s="5" t="str">
        <f>IF(E750="","","VEN-"&amp; TEXT(IF(COUNTIF(E$6:E750,E750)&gt;=1,MATCH(E750,$E$6:$E$1000,0),COUNTA(UNIQUE(E$6:E750))),"000"))</f>
        <v/>
      </c>
    </row>
    <row r="751" spans="4:4">
      <c r="D751" s="5" t="str">
        <f>IF(E751="","","VEN-"&amp; TEXT(IF(COUNTIF(E$6:E751,E751)&gt;=1,MATCH(E751,$E$6:$E$1000,0),COUNTA(UNIQUE(E$6:E751))),"000"))</f>
        <v/>
      </c>
    </row>
    <row r="752" spans="4:4">
      <c r="D752" s="5" t="str">
        <f>IF(E752="","","VEN-"&amp; TEXT(IF(COUNTIF(E$6:E752,E752)&gt;=1,MATCH(E752,$E$6:$E$1000,0),COUNTA(UNIQUE(E$6:E752))),"000"))</f>
        <v/>
      </c>
    </row>
    <row r="753" spans="4:4">
      <c r="D753" s="5" t="str">
        <f>IF(E753="","","VEN-"&amp; TEXT(IF(COUNTIF(E$6:E753,E753)&gt;=1,MATCH(E753,$E$6:$E$1000,0),COUNTA(UNIQUE(E$6:E753))),"000"))</f>
        <v/>
      </c>
    </row>
    <row r="754" spans="4:4">
      <c r="D754" s="5" t="str">
        <f>IF(E754="","","VEN-"&amp; TEXT(IF(COUNTIF(E$6:E754,E754)&gt;=1,MATCH(E754,$E$6:$E$1000,0),COUNTA(UNIQUE(E$6:E754))),"000"))</f>
        <v/>
      </c>
    </row>
    <row r="755" spans="4:4">
      <c r="D755" s="5" t="str">
        <f>IF(E755="","","VEN-"&amp; TEXT(IF(COUNTIF(E$6:E755,E755)&gt;=1,MATCH(E755,$E$6:$E$1000,0),COUNTA(UNIQUE(E$6:E755))),"000"))</f>
        <v/>
      </c>
    </row>
    <row r="756" spans="4:4">
      <c r="D756" s="5" t="str">
        <f>IF(E756="","","VEN-"&amp; TEXT(IF(COUNTIF(E$6:E756,E756)&gt;=1,MATCH(E756,$E$6:$E$1000,0),COUNTA(UNIQUE(E$6:E756))),"000"))</f>
        <v/>
      </c>
    </row>
    <row r="757" spans="4:4">
      <c r="D757" s="5" t="str">
        <f>IF(E757="","","VEN-"&amp; TEXT(IF(COUNTIF(E$6:E757,E757)&gt;=1,MATCH(E757,$E$6:$E$1000,0),COUNTA(UNIQUE(E$6:E757))),"000"))</f>
        <v/>
      </c>
    </row>
    <row r="758" spans="4:4">
      <c r="D758" s="5" t="str">
        <f>IF(E758="","","VEN-"&amp; TEXT(IF(COUNTIF(E$6:E758,E758)&gt;=1,MATCH(E758,$E$6:$E$1000,0),COUNTA(UNIQUE(E$6:E758))),"000"))</f>
        <v/>
      </c>
    </row>
    <row r="759" spans="4:4">
      <c r="D759" s="5" t="str">
        <f>IF(E759="","","VEN-"&amp; TEXT(IF(COUNTIF(E$6:E759,E759)&gt;=1,MATCH(E759,$E$6:$E$1000,0),COUNTA(UNIQUE(E$6:E759))),"000"))</f>
        <v/>
      </c>
    </row>
    <row r="760" spans="4:4">
      <c r="D760" s="5" t="str">
        <f>IF(E760="","","VEN-"&amp; TEXT(IF(COUNTIF(E$6:E760,E760)&gt;=1,MATCH(E760,$E$6:$E$1000,0),COUNTA(UNIQUE(E$6:E760))),"000"))</f>
        <v/>
      </c>
    </row>
    <row r="761" spans="4:4">
      <c r="D761" s="5" t="str">
        <f>IF(E761="","","VEN-"&amp; TEXT(IF(COUNTIF(E$6:E761,E761)&gt;=1,MATCH(E761,$E$6:$E$1000,0),COUNTA(UNIQUE(E$6:E761))),"000"))</f>
        <v/>
      </c>
    </row>
    <row r="762" spans="4:4">
      <c r="D762" s="5" t="str">
        <f>IF(E762="","","VEN-"&amp; TEXT(IF(COUNTIF(E$6:E762,E762)&gt;=1,MATCH(E762,$E$6:$E$1000,0),COUNTA(UNIQUE(E$6:E762))),"000"))</f>
        <v/>
      </c>
    </row>
    <row r="763" spans="4:4">
      <c r="D763" s="5" t="str">
        <f>IF(E763="","","VEN-"&amp; TEXT(IF(COUNTIF(E$6:E763,E763)&gt;=1,MATCH(E763,$E$6:$E$1000,0),COUNTA(UNIQUE(E$6:E763))),"000"))</f>
        <v/>
      </c>
    </row>
    <row r="764" spans="4:4">
      <c r="D764" s="5" t="str">
        <f>IF(E764="","","VEN-"&amp; TEXT(IF(COUNTIF(E$6:E764,E764)&gt;=1,MATCH(E764,$E$6:$E$1000,0),COUNTA(UNIQUE(E$6:E764))),"000"))</f>
        <v/>
      </c>
    </row>
    <row r="765" spans="4:4">
      <c r="D765" s="5" t="str">
        <f>IF(E765="","","VEN-"&amp; TEXT(IF(COUNTIF(E$6:E765,E765)&gt;=1,MATCH(E765,$E$6:$E$1000,0),COUNTA(UNIQUE(E$6:E765))),"000"))</f>
        <v/>
      </c>
    </row>
    <row r="766" spans="4:4">
      <c r="D766" s="5" t="str">
        <f>IF(E766="","","VEN-"&amp; TEXT(IF(COUNTIF(E$6:E766,E766)&gt;=1,MATCH(E766,$E$6:$E$1000,0),COUNTA(UNIQUE(E$6:E766))),"000"))</f>
        <v/>
      </c>
    </row>
    <row r="767" spans="4:4">
      <c r="D767" s="5" t="str">
        <f>IF(E767="","","VEN-"&amp; TEXT(IF(COUNTIF(E$6:E767,E767)&gt;=1,MATCH(E767,$E$6:$E$1000,0),COUNTA(UNIQUE(E$6:E767))),"000"))</f>
        <v/>
      </c>
    </row>
    <row r="768" spans="4:4">
      <c r="D768" s="5" t="str">
        <f>IF(E768="","","VEN-"&amp; TEXT(IF(COUNTIF(E$6:E768,E768)&gt;=1,MATCH(E768,$E$6:$E$1000,0),COUNTA(UNIQUE(E$6:E768))),"000"))</f>
        <v/>
      </c>
    </row>
    <row r="769" spans="4:4">
      <c r="D769" s="5" t="str">
        <f>IF(E769="","","VEN-"&amp; TEXT(IF(COUNTIF(E$6:E769,E769)&gt;=1,MATCH(E769,$E$6:$E$1000,0),COUNTA(UNIQUE(E$6:E769))),"000"))</f>
        <v/>
      </c>
    </row>
    <row r="770" spans="4:4">
      <c r="D770" s="5" t="str">
        <f>IF(E770="","","VEN-"&amp; TEXT(IF(COUNTIF(E$6:E770,E770)&gt;=1,MATCH(E770,$E$6:$E$1000,0),COUNTA(UNIQUE(E$6:E770))),"000"))</f>
        <v/>
      </c>
    </row>
    <row r="771" spans="4:4">
      <c r="D771" s="5" t="str">
        <f>IF(E771="","","VEN-"&amp; TEXT(IF(COUNTIF(E$6:E771,E771)&gt;=1,MATCH(E771,$E$6:$E$1000,0),COUNTA(UNIQUE(E$6:E771))),"000"))</f>
        <v/>
      </c>
    </row>
    <row r="772" spans="4:4">
      <c r="D772" s="5" t="str">
        <f>IF(E772="","","VEN-"&amp; TEXT(IF(COUNTIF(E$6:E772,E772)&gt;=1,MATCH(E772,$E$6:$E$1000,0),COUNTA(UNIQUE(E$6:E772))),"000"))</f>
        <v/>
      </c>
    </row>
    <row r="773" spans="4:4">
      <c r="D773" s="5" t="str">
        <f>IF(E773="","","VEN-"&amp; TEXT(IF(COUNTIF(E$6:E773,E773)&gt;=1,MATCH(E773,$E$6:$E$1000,0),COUNTA(UNIQUE(E$6:E773))),"000"))</f>
        <v/>
      </c>
    </row>
    <row r="774" spans="4:4">
      <c r="D774" s="5" t="str">
        <f>IF(E774="","","VEN-"&amp; TEXT(IF(COUNTIF(E$6:E774,E774)&gt;=1,MATCH(E774,$E$6:$E$1000,0),COUNTA(UNIQUE(E$6:E774))),"000"))</f>
        <v/>
      </c>
    </row>
    <row r="775" spans="4:4">
      <c r="D775" s="5" t="str">
        <f>IF(E775="","","VEN-"&amp; TEXT(IF(COUNTIF(E$6:E775,E775)&gt;=1,MATCH(E775,$E$6:$E$1000,0),COUNTA(UNIQUE(E$6:E775))),"000"))</f>
        <v/>
      </c>
    </row>
    <row r="776" spans="4:4">
      <c r="D776" s="5" t="str">
        <f>IF(E776="","","VEN-"&amp; TEXT(IF(COUNTIF(E$6:E776,E776)&gt;=1,MATCH(E776,$E$6:$E$1000,0),COUNTA(UNIQUE(E$6:E776))),"000"))</f>
        <v/>
      </c>
    </row>
    <row r="777" spans="4:4">
      <c r="D777" s="5" t="str">
        <f>IF(E777="","","VEN-"&amp; TEXT(IF(COUNTIF(E$6:E777,E777)&gt;=1,MATCH(E777,$E$6:$E$1000,0),COUNTA(UNIQUE(E$6:E777))),"000"))</f>
        <v/>
      </c>
    </row>
    <row r="778" spans="4:4">
      <c r="D778" s="5" t="str">
        <f>IF(E778="","","VEN-"&amp; TEXT(IF(COUNTIF(E$6:E778,E778)&gt;=1,MATCH(E778,$E$6:$E$1000,0),COUNTA(UNIQUE(E$6:E778))),"000"))</f>
        <v/>
      </c>
    </row>
    <row r="779" spans="4:4">
      <c r="D779" s="5" t="str">
        <f>IF(E779="","","VEN-"&amp; TEXT(IF(COUNTIF(E$6:E779,E779)&gt;=1,MATCH(E779,$E$6:$E$1000,0),COUNTA(UNIQUE(E$6:E779))),"000"))</f>
        <v/>
      </c>
    </row>
    <row r="780" spans="4:4">
      <c r="D780" s="5" t="str">
        <f>IF(E780="","","VEN-"&amp; TEXT(IF(COUNTIF(E$6:E780,E780)&gt;=1,MATCH(E780,$E$6:$E$1000,0),COUNTA(UNIQUE(E$6:E780))),"000"))</f>
        <v/>
      </c>
    </row>
    <row r="781" spans="4:4">
      <c r="D781" s="5" t="str">
        <f>IF(E781="","","VEN-"&amp; TEXT(IF(COUNTIF(E$6:E781,E781)&gt;=1,MATCH(E781,$E$6:$E$1000,0),COUNTA(UNIQUE(E$6:E781))),"000"))</f>
        <v/>
      </c>
    </row>
    <row r="782" spans="4:4">
      <c r="D782" s="5" t="str">
        <f>IF(E782="","","VEN-"&amp; TEXT(IF(COUNTIF(E$6:E782,E782)&gt;=1,MATCH(E782,$E$6:$E$1000,0),COUNTA(UNIQUE(E$6:E782))),"000"))</f>
        <v/>
      </c>
    </row>
    <row r="783" spans="4:4">
      <c r="D783" s="5" t="str">
        <f>IF(E783="","","VEN-"&amp; TEXT(IF(COUNTIF(E$6:E783,E783)&gt;=1,MATCH(E783,$E$6:$E$1000,0),COUNTA(UNIQUE(E$6:E783))),"000"))</f>
        <v/>
      </c>
    </row>
    <row r="784" spans="4:4">
      <c r="D784" s="5" t="str">
        <f>IF(E784="","","VEN-"&amp; TEXT(IF(COUNTIF(E$6:E784,E784)&gt;=1,MATCH(E784,$E$6:$E$1000,0),COUNTA(UNIQUE(E$6:E784))),"000"))</f>
        <v/>
      </c>
    </row>
    <row r="785" spans="4:4">
      <c r="D785" s="5" t="str">
        <f>IF(E785="","","VEN-"&amp; TEXT(IF(COUNTIF(E$6:E785,E785)&gt;=1,MATCH(E785,$E$6:$E$1000,0),COUNTA(UNIQUE(E$6:E785))),"000"))</f>
        <v/>
      </c>
    </row>
    <row r="786" spans="4:4">
      <c r="D786" s="5" t="str">
        <f>IF(E786="","","VEN-"&amp; TEXT(IF(COUNTIF(E$6:E786,E786)&gt;=1,MATCH(E786,$E$6:$E$1000,0),COUNTA(UNIQUE(E$6:E786))),"000"))</f>
        <v/>
      </c>
    </row>
    <row r="787" spans="4:4">
      <c r="D787" s="5" t="str">
        <f>IF(E787="","","VEN-"&amp; TEXT(IF(COUNTIF(E$6:E787,E787)&gt;=1,MATCH(E787,$E$6:$E$1000,0),COUNTA(UNIQUE(E$6:E787))),"000"))</f>
        <v/>
      </c>
    </row>
    <row r="788" spans="4:4">
      <c r="D788" s="5" t="str">
        <f>IF(E788="","","VEN-"&amp; TEXT(IF(COUNTIF(E$6:E788,E788)&gt;=1,MATCH(E788,$E$6:$E$1000,0),COUNTA(UNIQUE(E$6:E788))),"000"))</f>
        <v/>
      </c>
    </row>
    <row r="789" spans="4:4">
      <c r="D789" s="5" t="str">
        <f>IF(E789="","","VEN-"&amp; TEXT(IF(COUNTIF(E$6:E789,E789)&gt;=1,MATCH(E789,$E$6:$E$1000,0),COUNTA(UNIQUE(E$6:E789))),"000"))</f>
        <v/>
      </c>
    </row>
    <row r="790" spans="4:4">
      <c r="D790" s="5" t="str">
        <f>IF(E790="","","VEN-"&amp; TEXT(IF(COUNTIF(E$6:E790,E790)&gt;=1,MATCH(E790,$E$6:$E$1000,0),COUNTA(UNIQUE(E$6:E790))),"000"))</f>
        <v/>
      </c>
    </row>
    <row r="791" spans="4:4">
      <c r="D791" s="5" t="str">
        <f>IF(E791="","","VEN-"&amp; TEXT(IF(COUNTIF(E$6:E791,E791)&gt;=1,MATCH(E791,$E$6:$E$1000,0),COUNTA(UNIQUE(E$6:E791))),"000"))</f>
        <v/>
      </c>
    </row>
    <row r="792" spans="4:4">
      <c r="D792" s="5" t="str">
        <f>IF(E792="","","VEN-"&amp; TEXT(IF(COUNTIF(E$6:E792,E792)&gt;=1,MATCH(E792,$E$6:$E$1000,0),COUNTA(UNIQUE(E$6:E792))),"000"))</f>
        <v/>
      </c>
    </row>
    <row r="793" spans="4:4">
      <c r="D793" s="5" t="str">
        <f>IF(E793="","","VEN-"&amp; TEXT(IF(COUNTIF(E$6:E793,E793)&gt;=1,MATCH(E793,$E$6:$E$1000,0),COUNTA(UNIQUE(E$6:E793))),"000"))</f>
        <v/>
      </c>
    </row>
    <row r="794" spans="4:4">
      <c r="D794" s="5" t="str">
        <f>IF(E794="","","VEN-"&amp; TEXT(IF(COUNTIF(E$6:E794,E794)&gt;=1,MATCH(E794,$E$6:$E$1000,0),COUNTA(UNIQUE(E$6:E794))),"000"))</f>
        <v/>
      </c>
    </row>
    <row r="795" spans="4:4">
      <c r="D795" s="5" t="str">
        <f>IF(E795="","","VEN-"&amp; TEXT(IF(COUNTIF(E$6:E795,E795)&gt;=1,MATCH(E795,$E$6:$E$1000,0),COUNTA(UNIQUE(E$6:E795))),"000"))</f>
        <v/>
      </c>
    </row>
    <row r="796" spans="4:4">
      <c r="D796" s="5" t="str">
        <f>IF(E796="","","VEN-"&amp; TEXT(IF(COUNTIF(E$6:E796,E796)&gt;=1,MATCH(E796,$E$6:$E$1000,0),COUNTA(UNIQUE(E$6:E796))),"000"))</f>
        <v/>
      </c>
    </row>
    <row r="797" spans="4:4">
      <c r="D797" s="5" t="str">
        <f>IF(E797="","","VEN-"&amp; TEXT(IF(COUNTIF(E$6:E797,E797)&gt;=1,MATCH(E797,$E$6:$E$1000,0),COUNTA(UNIQUE(E$6:E797))),"000"))</f>
        <v/>
      </c>
    </row>
    <row r="798" spans="4:4">
      <c r="D798" s="5" t="str">
        <f>IF(E798="","","VEN-"&amp; TEXT(IF(COUNTIF(E$6:E798,E798)&gt;=1,MATCH(E798,$E$6:$E$1000,0),COUNTA(UNIQUE(E$6:E798))),"000"))</f>
        <v/>
      </c>
    </row>
    <row r="799" spans="4:4">
      <c r="D799" s="5" t="str">
        <f>IF(E799="","","VEN-"&amp; TEXT(IF(COUNTIF(E$6:E799,E799)&gt;=1,MATCH(E799,$E$6:$E$1000,0),COUNTA(UNIQUE(E$6:E799))),"000"))</f>
        <v/>
      </c>
    </row>
    <row r="800" spans="4:4">
      <c r="D800" s="5" t="str">
        <f>IF(E800="","","VEN-"&amp; TEXT(IF(COUNTIF(E$6:E800,E800)&gt;=1,MATCH(E800,$E$6:$E$1000,0),COUNTA(UNIQUE(E$6:E800))),"000"))</f>
        <v/>
      </c>
    </row>
    <row r="801" spans="4:4">
      <c r="D801" s="5" t="str">
        <f>IF(E801="","","VEN-"&amp; TEXT(IF(COUNTIF(E$6:E801,E801)&gt;=1,MATCH(E801,$E$6:$E$1000,0),COUNTA(UNIQUE(E$6:E801))),"000"))</f>
        <v/>
      </c>
    </row>
    <row r="802" spans="4:4">
      <c r="D802" s="5" t="str">
        <f>IF(E802="","","VEN-"&amp; TEXT(IF(COUNTIF(E$6:E802,E802)&gt;=1,MATCH(E802,$E$6:$E$1000,0),COUNTA(UNIQUE(E$6:E802))),"000"))</f>
        <v/>
      </c>
    </row>
    <row r="803" spans="4:4">
      <c r="D803" s="5" t="str">
        <f>IF(E803="","","VEN-"&amp; TEXT(IF(COUNTIF(E$6:E803,E803)&gt;=1,MATCH(E803,$E$6:$E$1000,0),COUNTA(UNIQUE(E$6:E803))),"000"))</f>
        <v/>
      </c>
    </row>
    <row r="804" spans="4:4">
      <c r="D804" s="5" t="str">
        <f>IF(E804="","","VEN-"&amp; TEXT(IF(COUNTIF(E$6:E804,E804)&gt;=1,MATCH(E804,$E$6:$E$1000,0),COUNTA(UNIQUE(E$6:E804))),"000"))</f>
        <v/>
      </c>
    </row>
    <row r="805" spans="4:4">
      <c r="D805" s="5" t="str">
        <f>IF(E805="","","VEN-"&amp; TEXT(IF(COUNTIF(E$6:E805,E805)&gt;=1,MATCH(E805,$E$6:$E$1000,0),COUNTA(UNIQUE(E$6:E805))),"000"))</f>
        <v/>
      </c>
    </row>
    <row r="806" spans="4:4">
      <c r="D806" s="5" t="str">
        <f>IF(E806="","","VEN-"&amp; TEXT(IF(COUNTIF(E$6:E806,E806)&gt;=1,MATCH(E806,$E$6:$E$1000,0),COUNTA(UNIQUE(E$6:E806))),"000"))</f>
        <v/>
      </c>
    </row>
    <row r="807" spans="4:4">
      <c r="D807" s="5" t="str">
        <f>IF(E807="","","VEN-"&amp; TEXT(IF(COUNTIF(E$6:E807,E807)&gt;=1,MATCH(E807,$E$6:$E$1000,0),COUNTA(UNIQUE(E$6:E807))),"000"))</f>
        <v/>
      </c>
    </row>
    <row r="808" spans="4:4">
      <c r="D808" s="5" t="str">
        <f>IF(E808="","","VEN-"&amp; TEXT(IF(COUNTIF(E$6:E808,E808)&gt;=1,MATCH(E808,$E$6:$E$1000,0),COUNTA(UNIQUE(E$6:E808))),"000"))</f>
        <v/>
      </c>
    </row>
    <row r="809" spans="4:4">
      <c r="D809" s="5" t="str">
        <f>IF(E809="","","VEN-"&amp; TEXT(IF(COUNTIF(E$6:E809,E809)&gt;=1,MATCH(E809,$E$6:$E$1000,0),COUNTA(UNIQUE(E$6:E809))),"000"))</f>
        <v/>
      </c>
    </row>
    <row r="810" spans="4:4">
      <c r="D810" s="5" t="str">
        <f>IF(E810="","","VEN-"&amp; TEXT(IF(COUNTIF(E$6:E810,E810)&gt;=1,MATCH(E810,$E$6:$E$1000,0),COUNTA(UNIQUE(E$6:E810))),"000"))</f>
        <v/>
      </c>
    </row>
    <row r="811" spans="4:4">
      <c r="D811" s="5" t="str">
        <f>IF(E811="","","VEN-"&amp; TEXT(IF(COUNTIF(E$6:E811,E811)&gt;=1,MATCH(E811,$E$6:$E$1000,0),COUNTA(UNIQUE(E$6:E811))),"000"))</f>
        <v/>
      </c>
    </row>
    <row r="812" spans="4:4">
      <c r="D812" s="5" t="str">
        <f>IF(E812="","","VEN-"&amp; TEXT(IF(COUNTIF(E$6:E812,E812)&gt;=1,MATCH(E812,$E$6:$E$1000,0),COUNTA(UNIQUE(E$6:E812))),"000"))</f>
        <v/>
      </c>
    </row>
    <row r="813" spans="4:4">
      <c r="D813" s="5" t="str">
        <f>IF(E813="","","VEN-"&amp; TEXT(IF(COUNTIF(E$6:E813,E813)&gt;=1,MATCH(E813,$E$6:$E$1000,0),COUNTA(UNIQUE(E$6:E813))),"000"))</f>
        <v/>
      </c>
    </row>
    <row r="814" spans="4:4">
      <c r="D814" s="5" t="str">
        <f>IF(E814="","","VEN-"&amp; TEXT(IF(COUNTIF(E$6:E814,E814)&gt;=1,MATCH(E814,$E$6:$E$1000,0),COUNTA(UNIQUE(E$6:E814))),"000"))</f>
        <v/>
      </c>
    </row>
    <row r="815" spans="4:4">
      <c r="D815" s="5" t="str">
        <f>IF(E815="","","VEN-"&amp; TEXT(IF(COUNTIF(E$6:E815,E815)&gt;=1,MATCH(E815,$E$6:$E$1000,0),COUNTA(UNIQUE(E$6:E815))),"000"))</f>
        <v/>
      </c>
    </row>
    <row r="816" spans="4:4">
      <c r="D816" s="5" t="str">
        <f>IF(E816="","","VEN-"&amp; TEXT(IF(COUNTIF(E$6:E816,E816)&gt;=1,MATCH(E816,$E$6:$E$1000,0),COUNTA(UNIQUE(E$6:E816))),"000"))</f>
        <v/>
      </c>
    </row>
    <row r="817" spans="4:4">
      <c r="D817" s="5" t="str">
        <f>IF(E817="","","VEN-"&amp; TEXT(IF(COUNTIF(E$6:E817,E817)&gt;=1,MATCH(E817,$E$6:$E$1000,0),COUNTA(UNIQUE(E$6:E817))),"000"))</f>
        <v/>
      </c>
    </row>
    <row r="818" spans="4:4">
      <c r="D818" s="5" t="str">
        <f>IF(E818="","","VEN-"&amp; TEXT(IF(COUNTIF(E$6:E818,E818)&gt;=1,MATCH(E818,$E$6:$E$1000,0),COUNTA(UNIQUE(E$6:E818))),"000"))</f>
        <v/>
      </c>
    </row>
    <row r="819" spans="4:4">
      <c r="D819" s="5" t="str">
        <f>IF(E819="","","VEN-"&amp; TEXT(IF(COUNTIF(E$6:E819,E819)&gt;=1,MATCH(E819,$E$6:$E$1000,0),COUNTA(UNIQUE(E$6:E819))),"000"))</f>
        <v/>
      </c>
    </row>
    <row r="820" spans="4:4">
      <c r="D820" s="5" t="str">
        <f>IF(E820="","","VEN-"&amp; TEXT(IF(COUNTIF(E$6:E820,E820)&gt;=1,MATCH(E820,$E$6:$E$1000,0),COUNTA(UNIQUE(E$6:E820))),"000"))</f>
        <v/>
      </c>
    </row>
    <row r="821" spans="4:4">
      <c r="D821" s="5" t="str">
        <f>IF(E821="","","VEN-"&amp; TEXT(IF(COUNTIF(E$6:E821,E821)&gt;=1,MATCH(E821,$E$6:$E$1000,0),COUNTA(UNIQUE(E$6:E821))),"000"))</f>
        <v/>
      </c>
    </row>
    <row r="822" spans="4:4">
      <c r="D822" s="5" t="str">
        <f>IF(E822="","","VEN-"&amp; TEXT(IF(COUNTIF(E$6:E822,E822)&gt;=1,MATCH(E822,$E$6:$E$1000,0),COUNTA(UNIQUE(E$6:E822))),"000"))</f>
        <v/>
      </c>
    </row>
    <row r="823" spans="4:4">
      <c r="D823" s="5" t="str">
        <f>IF(E823="","","VEN-"&amp; TEXT(IF(COUNTIF(E$6:E823,E823)&gt;=1,MATCH(E823,$E$6:$E$1000,0),COUNTA(UNIQUE(E$6:E823))),"000"))</f>
        <v/>
      </c>
    </row>
    <row r="824" spans="4:4">
      <c r="D824" s="5" t="str">
        <f>IF(E824="","","VEN-"&amp; TEXT(IF(COUNTIF(E$6:E824,E824)&gt;=1,MATCH(E824,$E$6:$E$1000,0),COUNTA(UNIQUE(E$6:E824))),"000"))</f>
        <v/>
      </c>
    </row>
    <row r="825" spans="4:4">
      <c r="D825" s="5" t="str">
        <f>IF(E825="","","VEN-"&amp; TEXT(IF(COUNTIF(E$6:E825,E825)&gt;=1,MATCH(E825,$E$6:$E$1000,0),COUNTA(UNIQUE(E$6:E825))),"000"))</f>
        <v/>
      </c>
    </row>
    <row r="826" spans="4:4">
      <c r="D826" s="5" t="str">
        <f>IF(E826="","","VEN-"&amp; TEXT(IF(COUNTIF(E$6:E826,E826)&gt;=1,MATCH(E826,$E$6:$E$1000,0),COUNTA(UNIQUE(E$6:E826))),"000"))</f>
        <v/>
      </c>
    </row>
    <row r="827" spans="4:4">
      <c r="D827" s="5" t="str">
        <f>IF(E827="","","VEN-"&amp; TEXT(IF(COUNTIF(E$6:E827,E827)&gt;=1,MATCH(E827,$E$6:$E$1000,0),COUNTA(UNIQUE(E$6:E827))),"000"))</f>
        <v/>
      </c>
    </row>
    <row r="828" spans="4:4">
      <c r="D828" s="5" t="str">
        <f>IF(E828="","","VEN-"&amp; TEXT(IF(COUNTIF(E$6:E828,E828)&gt;=1,MATCH(E828,$E$6:$E$1000,0),COUNTA(UNIQUE(E$6:E828))),"000"))</f>
        <v/>
      </c>
    </row>
    <row r="829" spans="4:4">
      <c r="D829" s="5" t="str">
        <f>IF(E829="","","VEN-"&amp; TEXT(IF(COUNTIF(E$6:E829,E829)&gt;=1,MATCH(E829,$E$6:$E$1000,0),COUNTA(UNIQUE(E$6:E829))),"000"))</f>
        <v/>
      </c>
    </row>
    <row r="830" spans="4:4">
      <c r="D830" s="5" t="str">
        <f>IF(E830="","","VEN-"&amp; TEXT(IF(COUNTIF(E$6:E830,E830)&gt;=1,MATCH(E830,$E$6:$E$1000,0),COUNTA(UNIQUE(E$6:E830))),"000"))</f>
        <v/>
      </c>
    </row>
    <row r="831" spans="4:4">
      <c r="D831" s="5" t="str">
        <f>IF(E831="","","VEN-"&amp; TEXT(IF(COUNTIF(E$6:E831,E831)&gt;=1,MATCH(E831,$E$6:$E$1000,0),COUNTA(UNIQUE(E$6:E831))),"000"))</f>
        <v/>
      </c>
    </row>
    <row r="832" spans="4:4">
      <c r="D832" s="5" t="str">
        <f>IF(E832="","","VEN-"&amp; TEXT(IF(COUNTIF(E$6:E832,E832)&gt;=1,MATCH(E832,$E$6:$E$1000,0),COUNTA(UNIQUE(E$6:E832))),"000"))</f>
        <v/>
      </c>
    </row>
    <row r="833" spans="4:4">
      <c r="D833" s="5" t="str">
        <f>IF(E833="","","VEN-"&amp; TEXT(IF(COUNTIF(E$6:E833,E833)&gt;=1,MATCH(E833,$E$6:$E$1000,0),COUNTA(UNIQUE(E$6:E833))),"000"))</f>
        <v/>
      </c>
    </row>
    <row r="834" spans="4:4">
      <c r="D834" s="5" t="str">
        <f>IF(E834="","","VEN-"&amp; TEXT(IF(COUNTIF(E$6:E834,E834)&gt;=1,MATCH(E834,$E$6:$E$1000,0),COUNTA(UNIQUE(E$6:E834))),"000"))</f>
        <v/>
      </c>
    </row>
    <row r="835" spans="4:4">
      <c r="D835" s="5" t="str">
        <f>IF(E835="","","VEN-"&amp; TEXT(IF(COUNTIF(E$6:E835,E835)&gt;=1,MATCH(E835,$E$6:$E$1000,0),COUNTA(UNIQUE(E$6:E835))),"000"))</f>
        <v/>
      </c>
    </row>
    <row r="836" spans="4:4">
      <c r="D836" s="5" t="str">
        <f>IF(E836="","","VEN-"&amp; TEXT(IF(COUNTIF(E$6:E836,E836)&gt;=1,MATCH(E836,$E$6:$E$1000,0),COUNTA(UNIQUE(E$6:E836))),"000"))</f>
        <v/>
      </c>
    </row>
    <row r="837" spans="4:4">
      <c r="D837" s="5" t="str">
        <f>IF(E837="","","VEN-"&amp; TEXT(IF(COUNTIF(E$6:E837,E837)&gt;=1,MATCH(E837,$E$6:$E$1000,0),COUNTA(UNIQUE(E$6:E837))),"000"))</f>
        <v/>
      </c>
    </row>
    <row r="838" spans="4:4">
      <c r="D838" s="5" t="str">
        <f>IF(E838="","","VEN-"&amp; TEXT(IF(COUNTIF(E$6:E838,E838)&gt;=1,MATCH(E838,$E$6:$E$1000,0),COUNTA(UNIQUE(E$6:E838))),"000"))</f>
        <v/>
      </c>
    </row>
    <row r="839" spans="4:4">
      <c r="D839" s="5" t="str">
        <f>IF(E839="","","VEN-"&amp; TEXT(IF(COUNTIF(E$6:E839,E839)&gt;=1,MATCH(E839,$E$6:$E$1000,0),COUNTA(UNIQUE(E$6:E839))),"000"))</f>
        <v/>
      </c>
    </row>
    <row r="840" spans="4:4">
      <c r="D840" s="5" t="str">
        <f>IF(E840="","","VEN-"&amp; TEXT(IF(COUNTIF(E$6:E840,E840)&gt;=1,MATCH(E840,$E$6:$E$1000,0),COUNTA(UNIQUE(E$6:E840))),"000"))</f>
        <v/>
      </c>
    </row>
    <row r="841" spans="4:4">
      <c r="D841" s="5" t="str">
        <f>IF(E841="","","VEN-"&amp; TEXT(IF(COUNTIF(E$6:E841,E841)&gt;=1,MATCH(E841,$E$6:$E$1000,0),COUNTA(UNIQUE(E$6:E841))),"000"))</f>
        <v/>
      </c>
    </row>
    <row r="842" spans="4:4">
      <c r="D842" s="5" t="str">
        <f>IF(E842="","","VEN-"&amp; TEXT(IF(COUNTIF(E$6:E842,E842)&gt;=1,MATCH(E842,$E$6:$E$1000,0),COUNTA(UNIQUE(E$6:E842))),"000"))</f>
        <v/>
      </c>
    </row>
    <row r="843" spans="4:4">
      <c r="D843" s="5" t="str">
        <f>IF(E843="","","VEN-"&amp; TEXT(IF(COUNTIF(E$6:E843,E843)&gt;=1,MATCH(E843,$E$6:$E$1000,0),COUNTA(UNIQUE(E$6:E843))),"000"))</f>
        <v/>
      </c>
    </row>
    <row r="844" spans="4:4">
      <c r="D844" s="5" t="str">
        <f>IF(E844="","","VEN-"&amp; TEXT(IF(COUNTIF(E$6:E844,E844)&gt;=1,MATCH(E844,$E$6:$E$1000,0),COUNTA(UNIQUE(E$6:E844))),"000"))</f>
        <v/>
      </c>
    </row>
    <row r="845" spans="4:4">
      <c r="D845" s="5" t="str">
        <f>IF(E845="","","VEN-"&amp; TEXT(IF(COUNTIF(E$6:E845,E845)&gt;=1,MATCH(E845,$E$6:$E$1000,0),COUNTA(UNIQUE(E$6:E845))),"000"))</f>
        <v/>
      </c>
    </row>
    <row r="846" spans="4:4">
      <c r="D846" s="5" t="str">
        <f>IF(E846="","","VEN-"&amp; TEXT(IF(COUNTIF(E$6:E846,E846)&gt;=1,MATCH(E846,$E$6:$E$1000,0),COUNTA(UNIQUE(E$6:E846))),"000"))</f>
        <v/>
      </c>
    </row>
    <row r="847" spans="4:4">
      <c r="D847" s="5" t="str">
        <f>IF(E847="","","VEN-"&amp; TEXT(IF(COUNTIF(E$6:E847,E847)&gt;=1,MATCH(E847,$E$6:$E$1000,0),COUNTA(UNIQUE(E$6:E847))),"000"))</f>
        <v/>
      </c>
    </row>
    <row r="848" spans="4:4">
      <c r="D848" s="5" t="str">
        <f>IF(E848="","","VEN-"&amp; TEXT(IF(COUNTIF(E$6:E848,E848)&gt;=1,MATCH(E848,$E$6:$E$1000,0),COUNTA(UNIQUE(E$6:E848))),"000"))</f>
        <v/>
      </c>
    </row>
    <row r="849" spans="4:4">
      <c r="D849" s="5" t="str">
        <f>IF(E849="","","VEN-"&amp; TEXT(IF(COUNTIF(E$6:E849,E849)&gt;=1,MATCH(E849,$E$6:$E$1000,0),COUNTA(UNIQUE(E$6:E849))),"000"))</f>
        <v/>
      </c>
    </row>
    <row r="850" spans="4:4">
      <c r="D850" s="5" t="str">
        <f>IF(E850="","","VEN-"&amp; TEXT(IF(COUNTIF(E$6:E850,E850)&gt;=1,MATCH(E850,$E$6:$E$1000,0),COUNTA(UNIQUE(E$6:E850))),"000"))</f>
        <v/>
      </c>
    </row>
    <row r="851" spans="4:4">
      <c r="D851" s="5" t="str">
        <f>IF(E851="","","VEN-"&amp; TEXT(IF(COUNTIF(E$6:E851,E851)&gt;=1,MATCH(E851,$E$6:$E$1000,0),COUNTA(UNIQUE(E$6:E851))),"000"))</f>
        <v/>
      </c>
    </row>
    <row r="852" spans="4:4">
      <c r="D852" s="5" t="str">
        <f>IF(E852="","","VEN-"&amp; TEXT(IF(COUNTIF(E$6:E852,E852)&gt;=1,MATCH(E852,$E$6:$E$1000,0),COUNTA(UNIQUE(E$6:E852))),"000"))</f>
        <v/>
      </c>
    </row>
    <row r="853" spans="4:4">
      <c r="D853" s="5" t="str">
        <f>IF(E853="","","VEN-"&amp; TEXT(IF(COUNTIF(E$6:E853,E853)&gt;=1,MATCH(E853,$E$6:$E$1000,0),COUNTA(UNIQUE(E$6:E853))),"000"))</f>
        <v/>
      </c>
    </row>
    <row r="854" spans="4:4">
      <c r="D854" s="5" t="str">
        <f>IF(E854="","","VEN-"&amp; TEXT(IF(COUNTIF(E$6:E854,E854)&gt;=1,MATCH(E854,$E$6:$E$1000,0),COUNTA(UNIQUE(E$6:E854))),"000"))</f>
        <v/>
      </c>
    </row>
    <row r="855" spans="4:4">
      <c r="D855" s="5" t="str">
        <f>IF(E855="","","VEN-"&amp; TEXT(IF(COUNTIF(E$6:E855,E855)&gt;=1,MATCH(E855,$E$6:$E$1000,0),COUNTA(UNIQUE(E$6:E855))),"000"))</f>
        <v/>
      </c>
    </row>
    <row r="856" spans="4:4">
      <c r="D856" s="5" t="str">
        <f>IF(E856="","","VEN-"&amp; TEXT(IF(COUNTIF(E$6:E856,E856)&gt;=1,MATCH(E856,$E$6:$E$1000,0),COUNTA(UNIQUE(E$6:E856))),"000"))</f>
        <v/>
      </c>
    </row>
    <row r="857" spans="4:4">
      <c r="D857" s="5" t="str">
        <f>IF(E857="","","VEN-"&amp; TEXT(IF(COUNTIF(E$6:E857,E857)&gt;=1,MATCH(E857,$E$6:$E$1000,0),COUNTA(UNIQUE(E$6:E857))),"000"))</f>
        <v/>
      </c>
    </row>
    <row r="858" spans="4:4">
      <c r="D858" s="5" t="str">
        <f>IF(E858="","","VEN-"&amp; TEXT(IF(COUNTIF(E$6:E858,E858)&gt;=1,MATCH(E858,$E$6:$E$1000,0),COUNTA(UNIQUE(E$6:E858))),"000"))</f>
        <v/>
      </c>
    </row>
    <row r="859" spans="4:4">
      <c r="D859" s="5" t="str">
        <f>IF(E859="","","VEN-"&amp; TEXT(IF(COUNTIF(E$6:E859,E859)&gt;=1,MATCH(E859,$E$6:$E$1000,0),COUNTA(UNIQUE(E$6:E859))),"000"))</f>
        <v/>
      </c>
    </row>
    <row r="860" spans="4:4">
      <c r="D860" s="5" t="str">
        <f>IF(E860="","","VEN-"&amp; TEXT(IF(COUNTIF(E$6:E860,E860)&gt;=1,MATCH(E860,$E$6:$E$1000,0),COUNTA(UNIQUE(E$6:E860))),"000"))</f>
        <v/>
      </c>
    </row>
    <row r="861" spans="4:4">
      <c r="D861" s="5" t="str">
        <f>IF(E861="","","VEN-"&amp; TEXT(IF(COUNTIF(E$6:E861,E861)&gt;=1,MATCH(E861,$E$6:$E$1000,0),COUNTA(UNIQUE(E$6:E861))),"000"))</f>
        <v/>
      </c>
    </row>
    <row r="862" spans="4:4">
      <c r="D862" s="5" t="str">
        <f>IF(E862="","","VEN-"&amp; TEXT(IF(COUNTIF(E$6:E862,E862)&gt;=1,MATCH(E862,$E$6:$E$1000,0),COUNTA(UNIQUE(E$6:E862))),"000"))</f>
        <v/>
      </c>
    </row>
    <row r="863" spans="4:4">
      <c r="D863" s="5" t="str">
        <f>IF(E863="","","VEN-"&amp; TEXT(IF(COUNTIF(E$6:E863,E863)&gt;=1,MATCH(E863,$E$6:$E$1000,0),COUNTA(UNIQUE(E$6:E863))),"000"))</f>
        <v/>
      </c>
    </row>
    <row r="864" spans="4:4">
      <c r="D864" s="5" t="str">
        <f>IF(E864="","","VEN-"&amp; TEXT(IF(COUNTIF(E$6:E864,E864)&gt;=1,MATCH(E864,$E$6:$E$1000,0),COUNTA(UNIQUE(E$6:E864))),"000"))</f>
        <v/>
      </c>
    </row>
    <row r="865" spans="4:4">
      <c r="D865" s="5" t="str">
        <f>IF(E865="","","VEN-"&amp; TEXT(IF(COUNTIF(E$6:E865,E865)&gt;=1,MATCH(E865,$E$6:$E$1000,0),COUNTA(UNIQUE(E$6:E865))),"000"))</f>
        <v/>
      </c>
    </row>
    <row r="866" spans="4:4">
      <c r="D866" s="5" t="str">
        <f>IF(E866="","","VEN-"&amp; TEXT(IF(COUNTIF(E$6:E866,E866)&gt;=1,MATCH(E866,$E$6:$E$1000,0),COUNTA(UNIQUE(E$6:E866))),"000"))</f>
        <v/>
      </c>
    </row>
    <row r="867" spans="4:4">
      <c r="D867" s="5" t="str">
        <f>IF(E867="","","VEN-"&amp; TEXT(IF(COUNTIF(E$6:E867,E867)&gt;=1,MATCH(E867,$E$6:$E$1000,0),COUNTA(UNIQUE(E$6:E867))),"000"))</f>
        <v/>
      </c>
    </row>
    <row r="868" spans="4:4">
      <c r="D868" s="5" t="str">
        <f>IF(E868="","","VEN-"&amp; TEXT(IF(COUNTIF(E$6:E868,E868)&gt;=1,MATCH(E868,$E$6:$E$1000,0),COUNTA(UNIQUE(E$6:E868))),"000"))</f>
        <v/>
      </c>
    </row>
    <row r="869" spans="4:4">
      <c r="D869" s="5" t="str">
        <f>IF(E869="","","VEN-"&amp; TEXT(IF(COUNTIF(E$6:E869,E869)&gt;=1,MATCH(E869,$E$6:$E$1000,0),COUNTA(UNIQUE(E$6:E869))),"000"))</f>
        <v/>
      </c>
    </row>
    <row r="870" spans="4:4">
      <c r="D870" s="5" t="str">
        <f>IF(E870="","","VEN-"&amp; TEXT(IF(COUNTIF(E$6:E870,E870)&gt;=1,MATCH(E870,$E$6:$E$1000,0),COUNTA(UNIQUE(E$6:E870))),"000"))</f>
        <v/>
      </c>
    </row>
    <row r="871" spans="4:4">
      <c r="D871" s="5" t="str">
        <f>IF(E871="","","VEN-"&amp; TEXT(IF(COUNTIF(E$6:E871,E871)&gt;=1,MATCH(E871,$E$6:$E$1000,0),COUNTA(UNIQUE(E$6:E871))),"000"))</f>
        <v/>
      </c>
    </row>
    <row r="872" spans="4:4">
      <c r="D872" s="5" t="str">
        <f>IF(E872="","","VEN-"&amp; TEXT(IF(COUNTIF(E$6:E872,E872)&gt;=1,MATCH(E872,$E$6:$E$1000,0),COUNTA(UNIQUE(E$6:E872))),"000"))</f>
        <v/>
      </c>
    </row>
    <row r="873" spans="4:4">
      <c r="D873" s="5" t="str">
        <f>IF(E873="","","VEN-"&amp; TEXT(IF(COUNTIF(E$6:E873,E873)&gt;=1,MATCH(E873,$E$6:$E$1000,0),COUNTA(UNIQUE(E$6:E873))),"000"))</f>
        <v/>
      </c>
    </row>
    <row r="874" spans="4:4">
      <c r="D874" s="5" t="str">
        <f>IF(E874="","","VEN-"&amp; TEXT(IF(COUNTIF(E$6:E874,E874)&gt;=1,MATCH(E874,$E$6:$E$1000,0),COUNTA(UNIQUE(E$6:E874))),"000"))</f>
        <v/>
      </c>
    </row>
    <row r="875" spans="4:4">
      <c r="D875" s="5" t="str">
        <f>IF(E875="","","VEN-"&amp; TEXT(IF(COUNTIF(E$6:E875,E875)&gt;=1,MATCH(E875,$E$6:$E$1000,0),COUNTA(UNIQUE(E$6:E875))),"000"))</f>
        <v/>
      </c>
    </row>
    <row r="876" spans="4:4">
      <c r="D876" s="5" t="str">
        <f>IF(E876="","","VEN-"&amp; TEXT(IF(COUNTIF(E$6:E876,E876)&gt;=1,MATCH(E876,$E$6:$E$1000,0),COUNTA(UNIQUE(E$6:E876))),"000"))</f>
        <v/>
      </c>
    </row>
    <row r="877" spans="4:4">
      <c r="D877" s="5" t="str">
        <f>IF(E877="","","VEN-"&amp; TEXT(IF(COUNTIF(E$6:E877,E877)&gt;=1,MATCH(E877,$E$6:$E$1000,0),COUNTA(UNIQUE(E$6:E877))),"000"))</f>
        <v/>
      </c>
    </row>
    <row r="878" spans="4:4">
      <c r="D878" s="5" t="str">
        <f>IF(E878="","","VEN-"&amp; TEXT(IF(COUNTIF(E$6:E878,E878)&gt;=1,MATCH(E878,$E$6:$E$1000,0),COUNTA(UNIQUE(E$6:E878))),"000"))</f>
        <v/>
      </c>
    </row>
    <row r="879" spans="4:4">
      <c r="D879" s="5" t="str">
        <f>IF(E879="","","VEN-"&amp; TEXT(IF(COUNTIF(E$6:E879,E879)&gt;=1,MATCH(E879,$E$6:$E$1000,0),COUNTA(UNIQUE(E$6:E879))),"000"))</f>
        <v/>
      </c>
    </row>
    <row r="880" spans="4:4">
      <c r="D880" s="5" t="str">
        <f>IF(E880="","","VEN-"&amp; TEXT(IF(COUNTIF(E$6:E880,E880)&gt;=1,MATCH(E880,$E$6:$E$1000,0),COUNTA(UNIQUE(E$6:E880))),"000"))</f>
        <v/>
      </c>
    </row>
    <row r="881" spans="4:4">
      <c r="D881" s="5" t="str">
        <f>IF(E881="","","VEN-"&amp; TEXT(IF(COUNTIF(E$6:E881,E881)&gt;=1,MATCH(E881,$E$6:$E$1000,0),COUNTA(UNIQUE(E$6:E881))),"000"))</f>
        <v/>
      </c>
    </row>
    <row r="882" spans="4:4">
      <c r="D882" s="5" t="str">
        <f>IF(E882="","","VEN-"&amp; TEXT(IF(COUNTIF(E$6:E882,E882)&gt;=1,MATCH(E882,$E$6:$E$1000,0),COUNTA(UNIQUE(E$6:E882))),"000"))</f>
        <v/>
      </c>
    </row>
    <row r="883" spans="4:4">
      <c r="D883" s="5" t="str">
        <f>IF(E883="","","VEN-"&amp; TEXT(IF(COUNTIF(E$6:E883,E883)&gt;=1,MATCH(E883,$E$6:$E$1000,0),COUNTA(UNIQUE(E$6:E883))),"000"))</f>
        <v/>
      </c>
    </row>
    <row r="884" spans="4:4">
      <c r="D884" s="5" t="str">
        <f>IF(E884="","","VEN-"&amp; TEXT(IF(COUNTIF(E$6:E884,E884)&gt;=1,MATCH(E884,$E$6:$E$1000,0),COUNTA(UNIQUE(E$6:E884))),"000"))</f>
        <v/>
      </c>
    </row>
    <row r="885" spans="4:4">
      <c r="D885" s="5" t="str">
        <f>IF(E885="","","VEN-"&amp; TEXT(IF(COUNTIF(E$6:E885,E885)&gt;=1,MATCH(E885,$E$6:$E$1000,0),COUNTA(UNIQUE(E$6:E885))),"000"))</f>
        <v/>
      </c>
    </row>
    <row r="886" spans="4:4">
      <c r="D886" s="5" t="str">
        <f>IF(E886="","","VEN-"&amp; TEXT(IF(COUNTIF(E$6:E886,E886)&gt;=1,MATCH(E886,$E$6:$E$1000,0),COUNTA(UNIQUE(E$6:E886))),"000"))</f>
        <v/>
      </c>
    </row>
    <row r="887" spans="4:4">
      <c r="D887" s="5" t="str">
        <f>IF(E887="","","VEN-"&amp; TEXT(IF(COUNTIF(E$6:E887,E887)&gt;=1,MATCH(E887,$E$6:$E$1000,0),COUNTA(UNIQUE(E$6:E887))),"000"))</f>
        <v/>
      </c>
    </row>
    <row r="888" spans="4:4">
      <c r="D888" s="5" t="str">
        <f>IF(E888="","","VEN-"&amp; TEXT(IF(COUNTIF(E$6:E888,E888)&gt;=1,MATCH(E888,$E$6:$E$1000,0),COUNTA(UNIQUE(E$6:E888))),"000"))</f>
        <v/>
      </c>
    </row>
    <row r="889" spans="4:4">
      <c r="D889" s="5" t="str">
        <f>IF(E889="","","VEN-"&amp; TEXT(IF(COUNTIF(E$6:E889,E889)&gt;=1,MATCH(E889,$E$6:$E$1000,0),COUNTA(UNIQUE(E$6:E889))),"000"))</f>
        <v/>
      </c>
    </row>
    <row r="890" spans="4:4">
      <c r="D890" s="5" t="str">
        <f>IF(E890="","","VEN-"&amp; TEXT(IF(COUNTIF(E$6:E890,E890)&gt;=1,MATCH(E890,$E$6:$E$1000,0),COUNTA(UNIQUE(E$6:E890))),"000"))</f>
        <v/>
      </c>
    </row>
    <row r="891" spans="4:4">
      <c r="D891" s="5" t="str">
        <f>IF(E891="","","VEN-"&amp; TEXT(IF(COUNTIF(E$6:E891,E891)&gt;=1,MATCH(E891,$E$6:$E$1000,0),COUNTA(UNIQUE(E$6:E891))),"000"))</f>
        <v/>
      </c>
    </row>
    <row r="892" spans="4:4">
      <c r="D892" s="5" t="str">
        <f>IF(E892="","","VEN-"&amp; TEXT(IF(COUNTIF(E$6:E892,E892)&gt;=1,MATCH(E892,$E$6:$E$1000,0),COUNTA(UNIQUE(E$6:E892))),"000"))</f>
        <v/>
      </c>
    </row>
    <row r="893" spans="4:4">
      <c r="D893" s="5" t="str">
        <f>IF(E893="","","VEN-"&amp; TEXT(IF(COUNTIF(E$6:E893,E893)&gt;=1,MATCH(E893,$E$6:$E$1000,0),COUNTA(UNIQUE(E$6:E893))),"000"))</f>
        <v/>
      </c>
    </row>
    <row r="894" spans="4:4">
      <c r="D894" s="5" t="str">
        <f>IF(E894="","","VEN-"&amp; TEXT(IF(COUNTIF(E$6:E894,E894)&gt;=1,MATCH(E894,$E$6:$E$1000,0),COUNTA(UNIQUE(E$6:E894))),"000"))</f>
        <v/>
      </c>
    </row>
    <row r="895" spans="4:4">
      <c r="D895" s="5" t="str">
        <f>IF(E895="","","VEN-"&amp; TEXT(IF(COUNTIF(E$6:E895,E895)&gt;=1,MATCH(E895,$E$6:$E$1000,0),COUNTA(UNIQUE(E$6:E895))),"000"))</f>
        <v/>
      </c>
    </row>
    <row r="896" spans="4:4">
      <c r="D896" s="5" t="str">
        <f>IF(E896="","","VEN-"&amp; TEXT(IF(COUNTIF(E$6:E896,E896)&gt;=1,MATCH(E896,$E$6:$E$1000,0),COUNTA(UNIQUE(E$6:E896))),"000"))</f>
        <v/>
      </c>
    </row>
    <row r="897" spans="4:4">
      <c r="D897" s="5" t="str">
        <f>IF(E897="","","VEN-"&amp; TEXT(IF(COUNTIF(E$6:E897,E897)&gt;=1,MATCH(E897,$E$6:$E$1000,0),COUNTA(UNIQUE(E$6:E897))),"000"))</f>
        <v/>
      </c>
    </row>
    <row r="898" spans="4:4">
      <c r="D898" s="5" t="str">
        <f>IF(E898="","","VEN-"&amp; TEXT(IF(COUNTIF(E$6:E898,E898)&gt;=1,MATCH(E898,$E$6:$E$1000,0),COUNTA(UNIQUE(E$6:E898))),"000"))</f>
        <v/>
      </c>
    </row>
    <row r="899" spans="4:4">
      <c r="D899" s="5" t="str">
        <f>IF(E899="","","VEN-"&amp; TEXT(IF(COUNTIF(E$6:E899,E899)&gt;=1,MATCH(E899,$E$6:$E$1000,0),COUNTA(UNIQUE(E$6:E899))),"000"))</f>
        <v/>
      </c>
    </row>
    <row r="900" spans="4:4">
      <c r="D900" s="5" t="str">
        <f>IF(E900="","","VEN-"&amp; TEXT(IF(COUNTIF(E$6:E900,E900)&gt;=1,MATCH(E900,$E$6:$E$1000,0),COUNTA(UNIQUE(E$6:E900))),"000"))</f>
        <v/>
      </c>
    </row>
    <row r="901" spans="4:4">
      <c r="D901" s="5" t="str">
        <f>IF(E901="","","VEN-"&amp; TEXT(IF(COUNTIF(E$6:E901,E901)&gt;=1,MATCH(E901,$E$6:$E$1000,0),COUNTA(UNIQUE(E$6:E901))),"000"))</f>
        <v/>
      </c>
    </row>
    <row r="902" spans="4:4">
      <c r="D902" s="5" t="str">
        <f>IF(E902="","","VEN-"&amp; TEXT(IF(COUNTIF(E$6:E902,E902)&gt;=1,MATCH(E902,$E$6:$E$1000,0),COUNTA(UNIQUE(E$6:E902))),"000"))</f>
        <v/>
      </c>
    </row>
    <row r="903" spans="4:4">
      <c r="D903" s="5" t="str">
        <f>IF(E903="","","VEN-"&amp; TEXT(IF(COUNTIF(E$6:E903,E903)&gt;=1,MATCH(E903,$E$6:$E$1000,0),COUNTA(UNIQUE(E$6:E903))),"000"))</f>
        <v/>
      </c>
    </row>
    <row r="904" spans="4:4">
      <c r="D904" s="5" t="str">
        <f>IF(E904="","","VEN-"&amp; TEXT(IF(COUNTIF(E$6:E904,E904)&gt;=1,MATCH(E904,$E$6:$E$1000,0),COUNTA(UNIQUE(E$6:E904))),"000"))</f>
        <v/>
      </c>
    </row>
    <row r="905" spans="4:4">
      <c r="D905" s="5" t="str">
        <f>IF(E905="","","VEN-"&amp; TEXT(IF(COUNTIF(E$6:E905,E905)&gt;=1,MATCH(E905,$E$6:$E$1000,0),COUNTA(UNIQUE(E$6:E905))),"000"))</f>
        <v/>
      </c>
    </row>
    <row r="906" spans="4:4">
      <c r="D906" s="5" t="str">
        <f>IF(E906="","","VEN-"&amp; TEXT(IF(COUNTIF(E$6:E906,E906)&gt;=1,MATCH(E906,$E$6:$E$1000,0),COUNTA(UNIQUE(E$6:E906))),"000"))</f>
        <v/>
      </c>
    </row>
    <row r="907" spans="4:4">
      <c r="D907" s="5" t="str">
        <f>IF(E907="","","VEN-"&amp; TEXT(IF(COUNTIF(E$6:E907,E907)&gt;=1,MATCH(E907,$E$6:$E$1000,0),COUNTA(UNIQUE(E$6:E907))),"000"))</f>
        <v/>
      </c>
    </row>
    <row r="908" spans="4:4">
      <c r="D908" s="5" t="str">
        <f>IF(E908="","","VEN-"&amp; TEXT(IF(COUNTIF(E$6:E908,E908)&gt;=1,MATCH(E908,$E$6:$E$1000,0),COUNTA(UNIQUE(E$6:E908))),"000"))</f>
        <v/>
      </c>
    </row>
    <row r="909" spans="4:4">
      <c r="D909" s="5" t="str">
        <f>IF(E909="","","VEN-"&amp; TEXT(IF(COUNTIF(E$6:E909,E909)&gt;=1,MATCH(E909,$E$6:$E$1000,0),COUNTA(UNIQUE(E$6:E909))),"000"))</f>
        <v/>
      </c>
    </row>
    <row r="910" spans="4:4">
      <c r="D910" s="5" t="str">
        <f>IF(E910="","","VEN-"&amp; TEXT(IF(COUNTIF(E$6:E910,E910)&gt;=1,MATCH(E910,$E$6:$E$1000,0),COUNTA(UNIQUE(E$6:E910))),"000"))</f>
        <v/>
      </c>
    </row>
    <row r="911" spans="4:4">
      <c r="D911" s="5" t="str">
        <f>IF(E911="","","VEN-"&amp; TEXT(IF(COUNTIF(E$6:E911,E911)&gt;=1,MATCH(E911,$E$6:$E$1000,0),COUNTA(UNIQUE(E$6:E911))),"000"))</f>
        <v/>
      </c>
    </row>
    <row r="912" spans="4:4">
      <c r="D912" s="5" t="str">
        <f>IF(E912="","","VEN-"&amp; TEXT(IF(COUNTIF(E$6:E912,E912)&gt;=1,MATCH(E912,$E$6:$E$1000,0),COUNTA(UNIQUE(E$6:E912))),"000"))</f>
        <v/>
      </c>
    </row>
    <row r="913" spans="4:4">
      <c r="D913" s="5" t="str">
        <f>IF(E913="","","VEN-"&amp; TEXT(IF(COUNTIF(E$6:E913,E913)&gt;=1,MATCH(E913,$E$6:$E$1000,0),COUNTA(UNIQUE(E$6:E913))),"000"))</f>
        <v/>
      </c>
    </row>
    <row r="914" spans="4:4">
      <c r="D914" s="5" t="str">
        <f>IF(E914="","","VEN-"&amp; TEXT(IF(COUNTIF(E$6:E914,E914)&gt;=1,MATCH(E914,$E$6:$E$1000,0),COUNTA(UNIQUE(E$6:E914))),"000"))</f>
        <v/>
      </c>
    </row>
    <row r="915" spans="4:4">
      <c r="D915" s="5" t="str">
        <f>IF(E915="","","VEN-"&amp; TEXT(IF(COUNTIF(E$6:E915,E915)&gt;=1,MATCH(E915,$E$6:$E$1000,0),COUNTA(UNIQUE(E$6:E915))),"000"))</f>
        <v/>
      </c>
    </row>
    <row r="916" spans="4:4">
      <c r="D916" s="5" t="str">
        <f>IF(E916="","","VEN-"&amp; TEXT(IF(COUNTIF(E$6:E916,E916)&gt;=1,MATCH(E916,$E$6:$E$1000,0),COUNTA(UNIQUE(E$6:E916))),"000"))</f>
        <v/>
      </c>
    </row>
    <row r="917" spans="4:4">
      <c r="D917" s="5" t="str">
        <f>IF(E917="","","VEN-"&amp; TEXT(IF(COUNTIF(E$6:E917,E917)&gt;=1,MATCH(E917,$E$6:$E$1000,0),COUNTA(UNIQUE(E$6:E917))),"000"))</f>
        <v/>
      </c>
    </row>
    <row r="918" spans="4:4">
      <c r="D918" s="5" t="str">
        <f>IF(E918="","","VEN-"&amp; TEXT(IF(COUNTIF(E$6:E918,E918)&gt;=1,MATCH(E918,$E$6:$E$1000,0),COUNTA(UNIQUE(E$6:E918))),"000"))</f>
        <v/>
      </c>
    </row>
    <row r="919" spans="4:4">
      <c r="D919" s="5" t="str">
        <f>IF(E919="","","VEN-"&amp; TEXT(IF(COUNTIF(E$6:E919,E919)&gt;=1,MATCH(E919,$E$6:$E$1000,0),COUNTA(UNIQUE(E$6:E919))),"000"))</f>
        <v/>
      </c>
    </row>
    <row r="920" spans="4:4">
      <c r="D920" s="5" t="str">
        <f>IF(E920="","","VEN-"&amp; TEXT(IF(COUNTIF(E$6:E920,E920)&gt;=1,MATCH(E920,$E$6:$E$1000,0),COUNTA(UNIQUE(E$6:E920))),"000"))</f>
        <v/>
      </c>
    </row>
    <row r="921" spans="4:4">
      <c r="D921" s="5" t="str">
        <f>IF(E921="","","VEN-"&amp; TEXT(IF(COUNTIF(E$6:E921,E921)&gt;=1,MATCH(E921,$E$6:$E$1000,0),COUNTA(UNIQUE(E$6:E921))),"000"))</f>
        <v/>
      </c>
    </row>
    <row r="922" spans="4:4">
      <c r="D922" s="5" t="str">
        <f>IF(E922="","","VEN-"&amp; TEXT(IF(COUNTIF(E$6:E922,E922)&gt;=1,MATCH(E922,$E$6:$E$1000,0),COUNTA(UNIQUE(E$6:E922))),"000"))</f>
        <v/>
      </c>
    </row>
    <row r="923" spans="4:4">
      <c r="D923" s="5" t="str">
        <f>IF(E923="","","VEN-"&amp; TEXT(IF(COUNTIF(E$6:E923,E923)&gt;=1,MATCH(E923,$E$6:$E$1000,0),COUNTA(UNIQUE(E$6:E923))),"000"))</f>
        <v/>
      </c>
    </row>
    <row r="924" spans="4:4">
      <c r="D924" s="5" t="str">
        <f>IF(E924="","","VEN-"&amp; TEXT(IF(COUNTIF(E$6:E924,E924)&gt;=1,MATCH(E924,$E$6:$E$1000,0),COUNTA(UNIQUE(E$6:E924))),"000"))</f>
        <v/>
      </c>
    </row>
    <row r="925" spans="4:4">
      <c r="D925" s="5" t="str">
        <f>IF(E925="","","VEN-"&amp; TEXT(IF(COUNTIF(E$6:E925,E925)&gt;=1,MATCH(E925,$E$6:$E$1000,0),COUNTA(UNIQUE(E$6:E925))),"000"))</f>
        <v/>
      </c>
    </row>
    <row r="926" spans="4:4">
      <c r="D926" s="5" t="str">
        <f>IF(E926="","","VEN-"&amp; TEXT(IF(COUNTIF(E$6:E926,E926)&gt;=1,MATCH(E926,$E$6:$E$1000,0),COUNTA(UNIQUE(E$6:E926))),"000"))</f>
        <v/>
      </c>
    </row>
    <row r="927" spans="4:4">
      <c r="D927" s="5" t="str">
        <f>IF(E927="","","VEN-"&amp; TEXT(IF(COUNTIF(E$6:E927,E927)&gt;=1,MATCH(E927,$E$6:$E$1000,0),COUNTA(UNIQUE(E$6:E927))),"000"))</f>
        <v/>
      </c>
    </row>
    <row r="928" spans="4:4">
      <c r="D928" s="5" t="str">
        <f>IF(E928="","","VEN-"&amp; TEXT(IF(COUNTIF(E$6:E928,E928)&gt;=1,MATCH(E928,$E$6:$E$1000,0),COUNTA(UNIQUE(E$6:E928))),"000"))</f>
        <v/>
      </c>
    </row>
    <row r="929" spans="4:4">
      <c r="D929" s="5" t="str">
        <f>IF(E929="","","VEN-"&amp; TEXT(IF(COUNTIF(E$6:E929,E929)&gt;=1,MATCH(E929,$E$6:$E$1000,0),COUNTA(UNIQUE(E$6:E929))),"000"))</f>
        <v/>
      </c>
    </row>
    <row r="930" spans="4:4">
      <c r="D930" s="5" t="str">
        <f>IF(E930="","","VEN-"&amp; TEXT(IF(COUNTIF(E$6:E930,E930)&gt;=1,MATCH(E930,$E$6:$E$1000,0),COUNTA(UNIQUE(E$6:E930))),"000"))</f>
        <v/>
      </c>
    </row>
    <row r="931" spans="4:4">
      <c r="D931" s="5" t="str">
        <f>IF(E931="","","VEN-"&amp; TEXT(IF(COUNTIF(E$6:E931,E931)&gt;=1,MATCH(E931,$E$6:$E$1000,0),COUNTA(UNIQUE(E$6:E931))),"000"))</f>
        <v/>
      </c>
    </row>
    <row r="932" spans="4:4">
      <c r="D932" s="5" t="str">
        <f>IF(E932="","","VEN-"&amp; TEXT(IF(COUNTIF(E$6:E932,E932)&gt;=1,MATCH(E932,$E$6:$E$1000,0),COUNTA(UNIQUE(E$6:E932))),"000"))</f>
        <v/>
      </c>
    </row>
    <row r="933" spans="4:4">
      <c r="D933" s="5" t="str">
        <f>IF(E933="","","VEN-"&amp; TEXT(IF(COUNTIF(E$6:E933,E933)&gt;=1,MATCH(E933,$E$6:$E$1000,0),COUNTA(UNIQUE(E$6:E933))),"000"))</f>
        <v/>
      </c>
    </row>
    <row r="934" spans="4:4">
      <c r="D934" s="5" t="str">
        <f>IF(E934="","","VEN-"&amp; TEXT(IF(COUNTIF(E$6:E934,E934)&gt;=1,MATCH(E934,$E$6:$E$1000,0),COUNTA(UNIQUE(E$6:E934))),"000"))</f>
        <v/>
      </c>
    </row>
    <row r="935" spans="4:4">
      <c r="D935" s="5" t="str">
        <f>IF(E935="","","VEN-"&amp; TEXT(IF(COUNTIF(E$6:E935,E935)&gt;=1,MATCH(E935,$E$6:$E$1000,0),COUNTA(UNIQUE(E$6:E935))),"000"))</f>
        <v/>
      </c>
    </row>
    <row r="936" spans="4:4">
      <c r="D936" s="5" t="str">
        <f>IF(E936="","","VEN-"&amp; TEXT(IF(COUNTIF(E$6:E936,E936)&gt;=1,MATCH(E936,$E$6:$E$1000,0),COUNTA(UNIQUE(E$6:E936))),"000"))</f>
        <v/>
      </c>
    </row>
    <row r="937" spans="4:4">
      <c r="D937" s="5" t="str">
        <f>IF(E937="","","VEN-"&amp; TEXT(IF(COUNTIF(E$6:E937,E937)&gt;=1,MATCH(E937,$E$6:$E$1000,0),COUNTA(UNIQUE(E$6:E937))),"000"))</f>
        <v/>
      </c>
    </row>
    <row r="938" spans="4:4">
      <c r="D938" s="5" t="str">
        <f>IF(E938="","","VEN-"&amp; TEXT(IF(COUNTIF(E$6:E938,E938)&gt;=1,MATCH(E938,$E$6:$E$1000,0),COUNTA(UNIQUE(E$6:E938))),"000"))</f>
        <v/>
      </c>
    </row>
    <row r="939" spans="4:4">
      <c r="D939" s="5" t="str">
        <f>IF(E939="","","VEN-"&amp; TEXT(IF(COUNTIF(E$6:E939,E939)&gt;=1,MATCH(E939,$E$6:$E$1000,0),COUNTA(UNIQUE(E$6:E939))),"000"))</f>
        <v/>
      </c>
    </row>
    <row r="940" spans="4:4">
      <c r="D940" s="5" t="str">
        <f>IF(E940="","","VEN-"&amp; TEXT(IF(COUNTIF(E$6:E940,E940)&gt;=1,MATCH(E940,$E$6:$E$1000,0),COUNTA(UNIQUE(E$6:E940))),"000"))</f>
        <v/>
      </c>
    </row>
    <row r="941" spans="4:4">
      <c r="D941" s="5" t="str">
        <f>IF(E941="","","VEN-"&amp; TEXT(IF(COUNTIF(E$6:E941,E941)&gt;=1,MATCH(E941,$E$6:$E$1000,0),COUNTA(UNIQUE(E$6:E941))),"000"))</f>
        <v/>
      </c>
    </row>
    <row r="942" spans="4:4">
      <c r="D942" s="5" t="str">
        <f>IF(E942="","","VEN-"&amp; TEXT(IF(COUNTIF(E$6:E942,E942)&gt;=1,MATCH(E942,$E$6:$E$1000,0),COUNTA(UNIQUE(E$6:E942))),"000"))</f>
        <v/>
      </c>
    </row>
    <row r="943" spans="4:4">
      <c r="D943" s="5" t="str">
        <f>IF(E943="","","VEN-"&amp; TEXT(IF(COUNTIF(E$6:E943,E943)&gt;=1,MATCH(E943,$E$6:$E$1000,0),COUNTA(UNIQUE(E$6:E943))),"000"))</f>
        <v/>
      </c>
    </row>
    <row r="944" spans="4:4">
      <c r="D944" s="5" t="str">
        <f>IF(E944="","","VEN-"&amp; TEXT(IF(COUNTIF(E$6:E944,E944)&gt;=1,MATCH(E944,$E$6:$E$1000,0),COUNTA(UNIQUE(E$6:E944))),"000"))</f>
        <v/>
      </c>
    </row>
    <row r="945" spans="4:4">
      <c r="D945" s="5" t="str">
        <f>IF(E945="","","VEN-"&amp; TEXT(IF(COUNTIF(E$6:E945,E945)&gt;=1,MATCH(E945,$E$6:$E$1000,0),COUNTA(UNIQUE(E$6:E945))),"000"))</f>
        <v/>
      </c>
    </row>
    <row r="946" spans="4:4">
      <c r="D946" s="5" t="str">
        <f>IF(E946="","","VEN-"&amp; TEXT(IF(COUNTIF(E$6:E946,E946)&gt;=1,MATCH(E946,$E$6:$E$1000,0),COUNTA(UNIQUE(E$6:E946))),"000"))</f>
        <v/>
      </c>
    </row>
    <row r="947" spans="4:4">
      <c r="D947" s="5" t="str">
        <f>IF(E947="","","VEN-"&amp; TEXT(IF(COUNTIF(E$6:E947,E947)&gt;=1,MATCH(E947,$E$6:$E$1000,0),COUNTA(UNIQUE(E$6:E947))),"000"))</f>
        <v/>
      </c>
    </row>
    <row r="948" spans="4:4">
      <c r="D948" s="5" t="str">
        <f>IF(E948="","","VEN-"&amp; TEXT(IF(COUNTIF(E$6:E948,E948)&gt;=1,MATCH(E948,$E$6:$E$1000,0),COUNTA(UNIQUE(E$6:E948))),"000"))</f>
        <v/>
      </c>
    </row>
    <row r="949" spans="4:4">
      <c r="D949" s="5" t="str">
        <f>IF(E949="","","VEN-"&amp; TEXT(IF(COUNTIF(E$6:E949,E949)&gt;=1,MATCH(E949,$E$6:$E$1000,0),COUNTA(UNIQUE(E$6:E949))),"000"))</f>
        <v/>
      </c>
    </row>
    <row r="950" spans="4:4">
      <c r="D950" s="5" t="str">
        <f>IF(E950="","","VEN-"&amp; TEXT(IF(COUNTIF(E$6:E950,E950)&gt;=1,MATCH(E950,$E$6:$E$1000,0),COUNTA(UNIQUE(E$6:E950))),"000"))</f>
        <v/>
      </c>
    </row>
    <row r="951" spans="4:4">
      <c r="D951" s="5" t="str">
        <f>IF(E951="","","VEN-"&amp; TEXT(IF(COUNTIF(E$6:E951,E951)&gt;=1,MATCH(E951,$E$6:$E$1000,0),COUNTA(UNIQUE(E$6:E951))),"000"))</f>
        <v/>
      </c>
    </row>
    <row r="952" spans="4:4">
      <c r="D952" s="5" t="str">
        <f>IF(E952="","","VEN-"&amp; TEXT(IF(COUNTIF(E$6:E952,E952)&gt;=1,MATCH(E952,$E$6:$E$1000,0),COUNTA(UNIQUE(E$6:E952))),"000"))</f>
        <v/>
      </c>
    </row>
    <row r="953" spans="4:4">
      <c r="D953" s="5" t="str">
        <f>IF(E953="","","VEN-"&amp; TEXT(IF(COUNTIF(E$6:E953,E953)&gt;=1,MATCH(E953,$E$6:$E$1000,0),COUNTA(UNIQUE(E$6:E953))),"000"))</f>
        <v/>
      </c>
    </row>
    <row r="954" spans="4:4">
      <c r="D954" s="5" t="str">
        <f>IF(E954="","","VEN-"&amp; TEXT(IF(COUNTIF(E$6:E954,E954)&gt;=1,MATCH(E954,$E$6:$E$1000,0),COUNTA(UNIQUE(E$6:E954))),"000"))</f>
        <v/>
      </c>
    </row>
    <row r="955" spans="4:4">
      <c r="D955" s="5" t="str">
        <f>IF(E955="","","VEN-"&amp; TEXT(IF(COUNTIF(E$6:E955,E955)&gt;=1,MATCH(E955,$E$6:$E$1000,0),COUNTA(UNIQUE(E$6:E955))),"000"))</f>
        <v/>
      </c>
    </row>
    <row r="956" spans="4:4">
      <c r="D956" s="5" t="str">
        <f>IF(E956="","","VEN-"&amp; TEXT(IF(COUNTIF(E$6:E956,E956)&gt;=1,MATCH(E956,$E$6:$E$1000,0),COUNTA(UNIQUE(E$6:E956))),"000"))</f>
        <v/>
      </c>
    </row>
    <row r="957" spans="4:4">
      <c r="D957" s="5" t="str">
        <f>IF(E957="","","VEN-"&amp; TEXT(IF(COUNTIF(E$6:E957,E957)&gt;=1,MATCH(E957,$E$6:$E$1000,0),COUNTA(UNIQUE(E$6:E957))),"000"))</f>
        <v/>
      </c>
    </row>
    <row r="958" spans="4:4">
      <c r="D958" s="5" t="str">
        <f>IF(E958="","","VEN-"&amp; TEXT(IF(COUNTIF(E$6:E958,E958)&gt;=1,MATCH(E958,$E$6:$E$1000,0),COUNTA(UNIQUE(E$6:E958))),"000"))</f>
        <v/>
      </c>
    </row>
    <row r="959" spans="4:4">
      <c r="D959" s="5" t="str">
        <f>IF(E959="","","VEN-"&amp; TEXT(IF(COUNTIF(E$6:E959,E959)&gt;=1,MATCH(E959,$E$6:$E$1000,0),COUNTA(UNIQUE(E$6:E959))),"000"))</f>
        <v/>
      </c>
    </row>
    <row r="960" spans="4:4">
      <c r="D960" s="5" t="str">
        <f>IF(E960="","","VEN-"&amp; TEXT(IF(COUNTIF(E$6:E960,E960)&gt;=1,MATCH(E960,$E$6:$E$1000,0),COUNTA(UNIQUE(E$6:E960))),"000"))</f>
        <v/>
      </c>
    </row>
    <row r="961" spans="4:4">
      <c r="D961" s="5" t="str">
        <f>IF(E961="","","VEN-"&amp; TEXT(IF(COUNTIF(E$6:E961,E961)&gt;=1,MATCH(E961,$E$6:$E$1000,0),COUNTA(UNIQUE(E$6:E961))),"000"))</f>
        <v/>
      </c>
    </row>
    <row r="962" spans="4:4">
      <c r="D962" s="5" t="str">
        <f>IF(E962="","","VEN-"&amp; TEXT(IF(COUNTIF(E$6:E962,E962)&gt;=1,MATCH(E962,$E$6:$E$1000,0),COUNTA(UNIQUE(E$6:E962))),"000"))</f>
        <v/>
      </c>
    </row>
    <row r="963" spans="4:4">
      <c r="D963" s="5" t="str">
        <f>IF(E963="","","VEN-"&amp; TEXT(IF(COUNTIF(E$6:E963,E963)&gt;=1,MATCH(E963,$E$6:$E$1000,0),COUNTA(UNIQUE(E$6:E963))),"000"))</f>
        <v/>
      </c>
    </row>
    <row r="964" spans="4:4">
      <c r="D964" s="5" t="str">
        <f>IF(E964="","","VEN-"&amp; TEXT(IF(COUNTIF(E$6:E964,E964)&gt;=1,MATCH(E964,$E$6:$E$1000,0),COUNTA(UNIQUE(E$6:E964))),"000"))</f>
        <v/>
      </c>
    </row>
    <row r="965" spans="4:4">
      <c r="D965" s="5" t="str">
        <f>IF(E965="","","VEN-"&amp; TEXT(IF(COUNTIF(E$6:E965,E965)&gt;=1,MATCH(E965,$E$6:$E$1000,0),COUNTA(UNIQUE(E$6:E965))),"000"))</f>
        <v/>
      </c>
    </row>
    <row r="966" spans="4:4">
      <c r="D966" s="5" t="str">
        <f>IF(E966="","","VEN-"&amp; TEXT(IF(COUNTIF(E$6:E966,E966)&gt;=1,MATCH(E966,$E$6:$E$1000,0),COUNTA(UNIQUE(E$6:E966))),"000"))</f>
        <v/>
      </c>
    </row>
    <row r="967" spans="4:4">
      <c r="D967" s="5" t="str">
        <f>IF(E967="","","VEN-"&amp; TEXT(IF(COUNTIF(E$6:E967,E967)&gt;=1,MATCH(E967,$E$6:$E$1000,0),COUNTA(UNIQUE(E$6:E967))),"000"))</f>
        <v/>
      </c>
    </row>
    <row r="968" spans="4:4">
      <c r="D968" s="5" t="str">
        <f>IF(E968="","","VEN-"&amp; TEXT(IF(COUNTIF(E$6:E968,E968)&gt;=1,MATCH(E968,$E$6:$E$1000,0),COUNTA(UNIQUE(E$6:E968))),"000"))</f>
        <v/>
      </c>
    </row>
    <row r="969" spans="4:4">
      <c r="D969" s="5" t="str">
        <f>IF(E969="","","VEN-"&amp; TEXT(IF(COUNTIF(E$6:E969,E969)&gt;=1,MATCH(E969,$E$6:$E$1000,0),COUNTA(UNIQUE(E$6:E969))),"000"))</f>
        <v/>
      </c>
    </row>
    <row r="970" spans="4:4">
      <c r="D970" s="5" t="str">
        <f>IF(E970="","","VEN-"&amp; TEXT(IF(COUNTIF(E$6:E970,E970)&gt;=1,MATCH(E970,$E$6:$E$1000,0),COUNTA(UNIQUE(E$6:E970))),"000"))</f>
        <v/>
      </c>
    </row>
    <row r="971" spans="4:4">
      <c r="D971" s="5" t="str">
        <f>IF(E971="","","VEN-"&amp; TEXT(IF(COUNTIF(E$6:E971,E971)&gt;=1,MATCH(E971,$E$6:$E$1000,0),COUNTA(UNIQUE(E$6:E971))),"000"))</f>
        <v/>
      </c>
    </row>
    <row r="972" spans="4:4">
      <c r="D972" s="5" t="str">
        <f>IF(E972="","","VEN-"&amp; TEXT(IF(COUNTIF(E$6:E972,E972)&gt;=1,MATCH(E972,$E$6:$E$1000,0),COUNTA(UNIQUE(E$6:E972))),"000"))</f>
        <v/>
      </c>
    </row>
    <row r="973" spans="4:4">
      <c r="D973" s="5" t="str">
        <f>IF(E973="","","VEN-"&amp; TEXT(IF(COUNTIF(E$6:E973,E973)&gt;=1,MATCH(E973,$E$6:$E$1000,0),COUNTA(UNIQUE(E$6:E973))),"000"))</f>
        <v/>
      </c>
    </row>
    <row r="974" spans="4:4">
      <c r="D974" s="5" t="str">
        <f>IF(E974="","","VEN-"&amp; TEXT(IF(COUNTIF(E$6:E974,E974)&gt;=1,MATCH(E974,$E$6:$E$1000,0),COUNTA(UNIQUE(E$6:E974))),"000"))</f>
        <v/>
      </c>
    </row>
    <row r="975" spans="4:4">
      <c r="D975" s="5" t="str">
        <f>IF(E975="","","VEN-"&amp; TEXT(IF(COUNTIF(E$6:E975,E975)&gt;=1,MATCH(E975,$E$6:$E$1000,0),COUNTA(UNIQUE(E$6:E975))),"000"))</f>
        <v/>
      </c>
    </row>
    <row r="976" spans="4:4">
      <c r="D976" s="5" t="str">
        <f>IF(E976="","","VEN-"&amp; TEXT(IF(COUNTIF(E$6:E976,E976)&gt;=1,MATCH(E976,$E$6:$E$1000,0),COUNTA(UNIQUE(E$6:E976))),"000"))</f>
        <v/>
      </c>
    </row>
    <row r="977" spans="4:4">
      <c r="D977" s="5" t="str">
        <f>IF(E977="","","VEN-"&amp; TEXT(IF(COUNTIF(E$6:E977,E977)&gt;=1,MATCH(E977,$E$6:$E$1000,0),COUNTA(UNIQUE(E$6:E977))),"000"))</f>
        <v/>
      </c>
    </row>
    <row r="978" spans="4:4">
      <c r="D978" s="5" t="str">
        <f>IF(E978="","","VEN-"&amp; TEXT(IF(COUNTIF(E$6:E978,E978)&gt;=1,MATCH(E978,$E$6:$E$1000,0),COUNTA(UNIQUE(E$6:E978))),"000"))</f>
        <v/>
      </c>
    </row>
    <row r="979" spans="4:4">
      <c r="D979" s="5" t="str">
        <f>IF(E979="","","VEN-"&amp; TEXT(IF(COUNTIF(E$6:E979,E979)&gt;=1,MATCH(E979,$E$6:$E$1000,0),COUNTA(UNIQUE(E$6:E979))),"000"))</f>
        <v/>
      </c>
    </row>
    <row r="980" spans="4:4">
      <c r="D980" s="5" t="str">
        <f>IF(E980="","","VEN-"&amp; TEXT(IF(COUNTIF(E$6:E980,E980)&gt;=1,MATCH(E980,$E$6:$E$1000,0),COUNTA(UNIQUE(E$6:E980))),"000"))</f>
        <v/>
      </c>
    </row>
    <row r="981" spans="4:4">
      <c r="D981" s="5" t="str">
        <f>IF(E981="","","VEN-"&amp; TEXT(IF(COUNTIF(E$6:E981,E981)&gt;=1,MATCH(E981,$E$6:$E$1000,0),COUNTA(UNIQUE(E$6:E981))),"000"))</f>
        <v/>
      </c>
    </row>
    <row r="982" spans="4:4">
      <c r="D982" s="5" t="str">
        <f>IF(E982="","","VEN-"&amp; TEXT(IF(COUNTIF(E$6:E982,E982)&gt;=1,MATCH(E982,$E$6:$E$1000,0),COUNTA(UNIQUE(E$6:E982))),"000"))</f>
        <v/>
      </c>
    </row>
    <row r="983" spans="4:4">
      <c r="D983" s="5" t="str">
        <f>IF(E983="","","VEN-"&amp; TEXT(IF(COUNTIF(E$6:E983,E983)&gt;=1,MATCH(E983,$E$6:$E$1000,0),COUNTA(UNIQUE(E$6:E983))),"000"))</f>
        <v/>
      </c>
    </row>
    <row r="984" spans="4:4">
      <c r="D984" s="5" t="str">
        <f>IF(E984="","","VEN-"&amp; TEXT(IF(COUNTIF(E$6:E984,E984)&gt;=1,MATCH(E984,$E$6:$E$1000,0),COUNTA(UNIQUE(E$6:E984))),"000"))</f>
        <v/>
      </c>
    </row>
    <row r="985" spans="4:4">
      <c r="D985" s="5" t="str">
        <f>IF(E985="","","VEN-"&amp; TEXT(IF(COUNTIF(E$6:E985,E985)&gt;=1,MATCH(E985,$E$6:$E$1000,0),COUNTA(UNIQUE(E$6:E985))),"000"))</f>
        <v/>
      </c>
    </row>
    <row r="986" spans="4:4">
      <c r="D986" s="5" t="str">
        <f>IF(E986="","","VEN-"&amp; TEXT(IF(COUNTIF(E$6:E986,E986)&gt;=1,MATCH(E986,$E$6:$E$1000,0),COUNTA(UNIQUE(E$6:E986))),"000"))</f>
        <v/>
      </c>
    </row>
    <row r="987" spans="4:4">
      <c r="D987" s="5" t="str">
        <f>IF(E987="","","VEN-"&amp; TEXT(IF(COUNTIF(E$6:E987,E987)&gt;=1,MATCH(E987,$E$6:$E$1000,0),COUNTA(UNIQUE(E$6:E987))),"000"))</f>
        <v/>
      </c>
    </row>
    <row r="988" spans="4:4">
      <c r="D988" s="5" t="str">
        <f>IF(E988="","","VEN-"&amp; TEXT(IF(COUNTIF(E$6:E988,E988)&gt;=1,MATCH(E988,$E$6:$E$1000,0),COUNTA(UNIQUE(E$6:E988))),"000"))</f>
        <v/>
      </c>
    </row>
    <row r="989" spans="4:4">
      <c r="D989" s="5" t="str">
        <f>IF(E989="","","VEN-"&amp; TEXT(IF(COUNTIF(E$6:E989,E989)&gt;=1,MATCH(E989,$E$6:$E$1000,0),COUNTA(UNIQUE(E$6:E989))),"000"))</f>
        <v/>
      </c>
    </row>
    <row r="990" spans="4:4">
      <c r="D990" s="5" t="str">
        <f>IF(E990="","","VEN-"&amp; TEXT(IF(COUNTIF(E$6:E990,E990)&gt;=1,MATCH(E990,$E$6:$E$1000,0),COUNTA(UNIQUE(E$6:E990))),"000"))</f>
        <v/>
      </c>
    </row>
    <row r="991" spans="4:4">
      <c r="D991" s="5" t="str">
        <f>IF(E991="","","VEN-"&amp; TEXT(IF(COUNTIF(E$6:E991,E991)&gt;=1,MATCH(E991,$E$6:$E$1000,0),COUNTA(UNIQUE(E$6:E991))),"000"))</f>
        <v/>
      </c>
    </row>
    <row r="992" spans="4:4">
      <c r="D992" s="5" t="str">
        <f>IF(E992="","","VEN-"&amp; TEXT(IF(COUNTIF(E$6:E992,E992)&gt;=1,MATCH(E992,$E$6:$E$1000,0),COUNTA(UNIQUE(E$6:E992))),"000"))</f>
        <v/>
      </c>
    </row>
    <row r="993" spans="4:4">
      <c r="D993" s="5" t="str">
        <f>IF(E993="","","VEN-"&amp; TEXT(IF(COUNTIF(E$6:E993,E993)&gt;=1,MATCH(E993,$E$6:$E$1000,0),COUNTA(UNIQUE(E$6:E993))),"000"))</f>
        <v/>
      </c>
    </row>
    <row r="994" spans="4:4">
      <c r="D994" s="5" t="str">
        <f>IF(E994="","","VEN-"&amp; TEXT(IF(COUNTIF(E$6:E994,E994)&gt;=1,MATCH(E994,$E$6:$E$1000,0),COUNTA(UNIQUE(E$6:E994))),"000"))</f>
        <v/>
      </c>
    </row>
    <row r="995" spans="4:4">
      <c r="D995" s="5" t="str">
        <f>IF(E995="","","VEN-"&amp; TEXT(IF(COUNTIF(E$6:E995,E995)&gt;=1,MATCH(E995,$E$6:$E$1000,0),COUNTA(UNIQUE(E$6:E995))),"000"))</f>
        <v/>
      </c>
    </row>
    <row r="996" spans="4:4">
      <c r="D996" s="5" t="str">
        <f>IF(E996="","","VEN-"&amp; TEXT(IF(COUNTIF(E$6:E996,E996)&gt;=1,MATCH(E996,$E$6:$E$1000,0),COUNTA(UNIQUE(E$6:E996))),"000"))</f>
        <v/>
      </c>
    </row>
    <row r="997" spans="4:4">
      <c r="D997" s="5" t="str">
        <f>IF(E997="","","VEN-"&amp; TEXT(IF(COUNTIF(E$6:E997,E997)&gt;=1,MATCH(E997,$E$6:$E$1000,0),COUNTA(UNIQUE(E$6:E997))),"000"))</f>
        <v/>
      </c>
    </row>
    <row r="998" spans="4:4">
      <c r="D998" s="5" t="str">
        <f>IF(E998="","","VEN-"&amp; TEXT(IF(COUNTIF(E$6:E998,E998)&gt;=1,MATCH(E998,$E$6:$E$1000,0),COUNTA(UNIQUE(E$6:E998))),"000"))</f>
        <v/>
      </c>
    </row>
    <row r="999" spans="4:4">
      <c r="D999" s="5" t="str">
        <f>IF(E999="","","VEN-"&amp; TEXT(IF(COUNTIF(E$6:E999,E999)&gt;=1,MATCH(E999,$E$6:$E$1000,0),COUNTA(UNIQUE(E$6:E999))),"000"))</f>
        <v/>
      </c>
    </row>
    <row r="1000" spans="4:4">
      <c r="D1000" s="5" t="str">
        <f>IF(E1000="","","VEN-"&amp; TEXT(IF(COUNTIF(E$6:E1000,E1000)&gt;=1,MATCH(E1000,$E$6:$E$1000,0),COUNTA(UNIQUE(E$6:E1000))),"000"))</f>
        <v/>
      </c>
    </row>
  </sheetData>
  <mergeCells count="3">
    <mergeCell ref="C4:C5"/>
    <mergeCell ref="D4:D5"/>
    <mergeCell ref="E4:E5"/>
  </mergeCells>
  <conditionalFormatting sqref="D6:D17">
    <cfRule type="duplicateValues" dxfId="12" priority="5"/>
  </conditionalFormatting>
  <conditionalFormatting sqref="D6:D32">
    <cfRule type="duplicateValues" dxfId="11" priority="4"/>
  </conditionalFormatting>
  <conditionalFormatting sqref="D6:D104">
    <cfRule type="duplicateValues" dxfId="10" priority="2"/>
  </conditionalFormatting>
  <conditionalFormatting sqref="D6:E17">
    <cfRule type="duplicateValues" dxfId="9" priority="3"/>
  </conditionalFormatting>
  <conditionalFormatting sqref="E6:E999">
    <cfRule type="duplicateValues" dxfId="8" priority="6"/>
  </conditionalFormatting>
  <conditionalFormatting sqref="E6:E1000">
    <cfRule type="duplicateValues" dxfId="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4:H999"/>
  <sheetViews>
    <sheetView topLeftCell="A4" workbookViewId="0">
      <selection activeCell="G6" sqref="G6"/>
    </sheetView>
  </sheetViews>
  <sheetFormatPr defaultRowHeight="14.4"/>
  <cols>
    <col min="1" max="1" width="6.33203125" customWidth="1"/>
    <col min="2" max="2" width="11.109375" bestFit="1" customWidth="1"/>
    <col min="3" max="3" width="5.77734375" customWidth="1"/>
    <col min="4" max="4" width="12.5546875" customWidth="1"/>
    <col min="5" max="5" width="13.88671875" bestFit="1" customWidth="1"/>
    <col min="6" max="6" width="13.77734375" bestFit="1" customWidth="1"/>
    <col min="7" max="7" width="25.77734375" bestFit="1" customWidth="1"/>
    <col min="8" max="8" width="13.77734375" customWidth="1"/>
  </cols>
  <sheetData>
    <row r="4" spans="3:8">
      <c r="C4" s="75" t="s">
        <v>4</v>
      </c>
      <c r="D4" s="75" t="s">
        <v>0</v>
      </c>
      <c r="E4" s="75" t="s">
        <v>1</v>
      </c>
      <c r="F4" s="75" t="s">
        <v>10</v>
      </c>
      <c r="G4" s="75" t="s">
        <v>2</v>
      </c>
      <c r="H4" s="75" t="s">
        <v>3</v>
      </c>
    </row>
    <row r="5" spans="3:8">
      <c r="C5" s="75"/>
      <c r="D5" s="75"/>
      <c r="E5" s="75"/>
      <c r="F5" s="75"/>
      <c r="G5" s="75"/>
      <c r="H5" s="75"/>
    </row>
    <row r="6" spans="3:8">
      <c r="C6">
        <f>IF(AND(E6="",F6=""),"",ROW(D1))</f>
        <v>1</v>
      </c>
      <c r="D6" t="str">
        <f>IFERROR(IF(AND(E6="",F6="",C6=""),"",INDEX('Brand Name'!$D$6:$D$1000,MATCH('Product Item'!E6,'Brand Name'!$E$6:$E$1000,0),0)&amp; "-"&amp; INDEX('Category Item'!$D$6:$D$1000,MATCH('Product Item'!F6,'Category Item'!$E$6:$E$1000,0),0)&amp; "-"&amp; $C6),"Data Belum Lengkap")</f>
        <v>LG-0001-1</v>
      </c>
      <c r="E6" s="2" t="s">
        <v>5</v>
      </c>
      <c r="F6" t="s">
        <v>6</v>
      </c>
      <c r="G6" t="s">
        <v>11</v>
      </c>
      <c r="H6" s="8" t="str">
        <f>IF(D6="","","*"&amp; D6 &amp;"*")</f>
        <v>*LG-0001-1*</v>
      </c>
    </row>
    <row r="7" spans="3:8">
      <c r="C7">
        <f t="shared" ref="C7:C69" si="0">IF(AND(E7="",F7=""),"",ROW(D2))</f>
        <v>2</v>
      </c>
      <c r="D7" t="str">
        <f>IFERROR(IF(AND(E7="",F7="",C7=""),"",INDEX('Brand Name'!$D$6:$D$1000,MATCH('Product Item'!E7,'Brand Name'!$E$6:$E$1000,0),0)&amp; "-"&amp; INDEX('Category Item'!$D$6:$D$1000,MATCH('Product Item'!F7,'Category Item'!$E$6:$E$1000,0),0)&amp; "-"&amp; $C7),"Data Belum Lengkap")</f>
        <v>LG-0001-2</v>
      </c>
      <c r="E7" s="2" t="s">
        <v>5</v>
      </c>
      <c r="F7" t="s">
        <v>6</v>
      </c>
      <c r="G7" t="s">
        <v>12</v>
      </c>
      <c r="H7" s="4" t="str">
        <f t="shared" ref="H7:H69" si="1">IF(D7="","","*"&amp; D7 &amp;"*")</f>
        <v>*LG-0001-2*</v>
      </c>
    </row>
    <row r="8" spans="3:8">
      <c r="C8">
        <f t="shared" si="0"/>
        <v>3</v>
      </c>
      <c r="D8" t="str">
        <f>IFERROR(IF(AND(E8="",F8="",C8=""),"",INDEX('Brand Name'!$D$6:$D$1000,MATCH('Product Item'!E8,'Brand Name'!$E$6:$E$1000,0),0)&amp; "-"&amp; INDEX('Category Item'!$D$6:$D$1000,MATCH('Product Item'!F8,'Category Item'!$E$6:$E$1000,0),0)&amp; "-"&amp; $C8),"Data Belum Lengkap")</f>
        <v>LG-0001-3</v>
      </c>
      <c r="E8" s="2" t="s">
        <v>5</v>
      </c>
      <c r="F8" t="s">
        <v>6</v>
      </c>
      <c r="G8" t="s">
        <v>13</v>
      </c>
      <c r="H8" s="4" t="str">
        <f t="shared" si="1"/>
        <v>*LG-0001-3*</v>
      </c>
    </row>
    <row r="9" spans="3:8">
      <c r="C9">
        <f t="shared" si="0"/>
        <v>4</v>
      </c>
      <c r="D9" t="str">
        <f>IFERROR(IF(AND(E9="",F9="",C9=""),"",INDEX('Brand Name'!$D$6:$D$1000,MATCH('Product Item'!E9,'Brand Name'!$E$6:$E$1000,0),0)&amp; "-"&amp; INDEX('Category Item'!$D$6:$D$1000,MATCH('Product Item'!F9,'Category Item'!$E$6:$E$1000,0),0)&amp; "-"&amp; $C9),"Data Belum Lengkap")</f>
        <v>LG-0005-4</v>
      </c>
      <c r="E9" s="2" t="s">
        <v>5</v>
      </c>
      <c r="F9" t="s">
        <v>14</v>
      </c>
      <c r="G9" t="s">
        <v>15</v>
      </c>
      <c r="H9" s="4" t="str">
        <f t="shared" si="1"/>
        <v>*LG-0005-4*</v>
      </c>
    </row>
    <row r="10" spans="3:8">
      <c r="C10">
        <f t="shared" si="0"/>
        <v>5</v>
      </c>
      <c r="D10" t="str">
        <f>IFERROR(IF(AND(E10="",F10="",C10=""),"",INDEX('Brand Name'!$D$6:$D$1000,MATCH('Product Item'!E10,'Brand Name'!$E$6:$E$1000,0),0)&amp; "-"&amp; INDEX('Category Item'!$D$6:$D$1000,MATCH('Product Item'!F10,'Category Item'!$E$6:$E$1000,0),0)&amp; "-"&amp; $C10),"Data Belum Lengkap")</f>
        <v>SA-0002-5</v>
      </c>
      <c r="E10" t="s">
        <v>18</v>
      </c>
      <c r="F10" t="s">
        <v>7</v>
      </c>
      <c r="G10" t="s">
        <v>28</v>
      </c>
      <c r="H10" s="4" t="str">
        <f t="shared" si="1"/>
        <v>*SA-0002-5*</v>
      </c>
    </row>
    <row r="11" spans="3:8">
      <c r="C11">
        <f t="shared" si="0"/>
        <v>6</v>
      </c>
      <c r="D11" t="str">
        <f>IFERROR(IF(AND(E11="",F11="",C11=""),"",INDEX('Brand Name'!$D$6:$D$1000,MATCH('Product Item'!E11,'Brand Name'!$E$6:$E$1000,0),0)&amp; "-"&amp; INDEX('Category Item'!$D$6:$D$1000,MATCH('Product Item'!F11,'Category Item'!$E$6:$E$1000,0),0)&amp; "-"&amp; $C11),"Data Belum Lengkap")</f>
        <v>AS-0002-6</v>
      </c>
      <c r="E11" t="s">
        <v>17</v>
      </c>
      <c r="F11" t="s">
        <v>7</v>
      </c>
      <c r="G11" t="s">
        <v>29</v>
      </c>
      <c r="H11" s="4" t="str">
        <f t="shared" si="1"/>
        <v>*AS-0002-6*</v>
      </c>
    </row>
    <row r="12" spans="3:8">
      <c r="C12">
        <f t="shared" si="0"/>
        <v>7</v>
      </c>
      <c r="D12" t="str">
        <f>IFERROR(IF(AND(E12="",F12="",C12=""),"",INDEX('Brand Name'!$D$6:$D$1000,MATCH('Product Item'!E12,'Brand Name'!$E$6:$E$1000,0),0)&amp; "-"&amp; INDEX('Category Item'!$D$6:$D$1000,MATCH('Product Item'!F12,'Category Item'!$E$6:$E$1000,0),0)&amp; "-"&amp; $C12),"Data Belum Lengkap")</f>
        <v>SA-0003-7</v>
      </c>
      <c r="E12" t="s">
        <v>18</v>
      </c>
      <c r="F12" t="s">
        <v>8</v>
      </c>
      <c r="G12" t="s">
        <v>30</v>
      </c>
      <c r="H12" s="4" t="str">
        <f t="shared" si="1"/>
        <v>*SA-0003-7*</v>
      </c>
    </row>
    <row r="13" spans="3:8">
      <c r="C13">
        <f t="shared" si="0"/>
        <v>8</v>
      </c>
      <c r="D13" t="str">
        <f>IFERROR(IF(AND(E13="",F13="",C13=""),"",INDEX('Brand Name'!$D$6:$D$1000,MATCH('Product Item'!E13,'Brand Name'!$E$6:$E$1000,0),0)&amp; "-"&amp; INDEX('Category Item'!$D$6:$D$1000,MATCH('Product Item'!F13,'Category Item'!$E$6:$E$1000,0),0)&amp; "-"&amp; $C13),"Data Belum Lengkap")</f>
        <v>AS-0002-8</v>
      </c>
      <c r="E13" t="s">
        <v>17</v>
      </c>
      <c r="F13" t="s">
        <v>7</v>
      </c>
      <c r="G13" t="s">
        <v>31</v>
      </c>
      <c r="H13" s="4" t="str">
        <f t="shared" si="1"/>
        <v>*AS-0002-8*</v>
      </c>
    </row>
    <row r="14" spans="3:8">
      <c r="C14">
        <f t="shared" si="0"/>
        <v>9</v>
      </c>
      <c r="D14" t="str">
        <f>IFERROR(IF(AND(E14="",F14="",C14=""),"",INDEX('Brand Name'!$D$6:$D$1000,MATCH('Product Item'!E14,'Brand Name'!$E$6:$E$1000,0),0)&amp; "-"&amp; INDEX('Category Item'!$D$6:$D$1000,MATCH('Product Item'!F14,'Category Item'!$E$6:$E$1000,0),0)&amp; "-"&amp; $C14),"Data Belum Lengkap")</f>
        <v>AP-0002-9</v>
      </c>
      <c r="E14" t="s">
        <v>19</v>
      </c>
      <c r="F14" t="s">
        <v>7</v>
      </c>
      <c r="G14" t="s">
        <v>32</v>
      </c>
      <c r="H14" s="4" t="str">
        <f t="shared" si="1"/>
        <v>*AP-0002-9*</v>
      </c>
    </row>
    <row r="15" spans="3:8">
      <c r="C15">
        <f t="shared" si="0"/>
        <v>10</v>
      </c>
      <c r="D15" t="str">
        <f>IFERROR(IF(AND(E15="",F15="",C15=""),"",INDEX('Brand Name'!$D$6:$D$1000,MATCH('Product Item'!E15,'Brand Name'!$E$6:$E$1000,0),0)&amp; "-"&amp; INDEX('Category Item'!$D$6:$D$1000,MATCH('Product Item'!F15,'Category Item'!$E$6:$E$1000,0),0)&amp; "-"&amp; $C15),"Data Belum Lengkap")</f>
        <v>SA-0003-10</v>
      </c>
      <c r="E15" t="s">
        <v>18</v>
      </c>
      <c r="F15" t="s">
        <v>8</v>
      </c>
      <c r="G15" t="s">
        <v>33</v>
      </c>
      <c r="H15" s="4" t="str">
        <f t="shared" si="1"/>
        <v>*SA-0003-10*</v>
      </c>
    </row>
    <row r="16" spans="3:8">
      <c r="C16">
        <f>IF(AND(E16="",F16=""),"",ROW(D12))</f>
        <v>12</v>
      </c>
      <c r="D16" t="str">
        <f>IFERROR(IF(AND(E16="",F16="",C16=""),"",INDEX('Brand Name'!$D$6:$D$1000,MATCH('Product Item'!E16,'Brand Name'!$E$6:$E$1000,0),0)&amp; "-"&amp; INDEX('Category Item'!$D$6:$D$1000,MATCH('Product Item'!F16,'Category Item'!$E$6:$E$1000,0),0)&amp; "-"&amp; $C16),"Data Belum Lengkap")</f>
        <v>PH-0004-12</v>
      </c>
      <c r="E16" t="s">
        <v>20</v>
      </c>
      <c r="F16" t="s">
        <v>22</v>
      </c>
      <c r="G16" t="s">
        <v>36</v>
      </c>
      <c r="H16" s="4" t="str">
        <f t="shared" si="1"/>
        <v>*PH-0004-12*</v>
      </c>
    </row>
    <row r="17" spans="3:8">
      <c r="C17">
        <f>IF(AND(E17="",F17=""),"",ROW(D13))</f>
        <v>13</v>
      </c>
      <c r="D17" t="str">
        <f>IFERROR(IF(AND(E17="",F17="",C17=""),"",INDEX('Brand Name'!$D$6:$D$1000,MATCH('Product Item'!E17,'Brand Name'!$E$6:$E$1000,0),0)&amp; "-"&amp; INDEX('Category Item'!$D$6:$D$1000,MATCH('Product Item'!F17,'Category Item'!$E$6:$E$1000,0),0)&amp; "-"&amp; $C17),"Data Belum Lengkap")</f>
        <v>AP-0002-13</v>
      </c>
      <c r="E17" t="s">
        <v>19</v>
      </c>
      <c r="F17" t="s">
        <v>7</v>
      </c>
      <c r="G17" t="s">
        <v>34</v>
      </c>
      <c r="H17" s="4" t="str">
        <f t="shared" si="1"/>
        <v>*AP-0002-13*</v>
      </c>
    </row>
    <row r="18" spans="3:8">
      <c r="C18">
        <f>IF(AND(E18="",F18=""),"",ROW(D14))</f>
        <v>14</v>
      </c>
      <c r="D18" t="str">
        <f>IFERROR(IF(AND(E18="",F18="",C18=""),"",INDEX('Brand Name'!$D$6:$D$1000,MATCH('Product Item'!E18,'Brand Name'!$E$6:$E$1000,0),0)&amp; "-"&amp; INDEX('Category Item'!$D$6:$D$1000,MATCH('Product Item'!F18,'Category Item'!$E$6:$E$1000,0),0)&amp; "-"&amp; $C18),"Data Belum Lengkap")</f>
        <v>PH-0004-14</v>
      </c>
      <c r="E18" t="s">
        <v>20</v>
      </c>
      <c r="F18" t="s">
        <v>22</v>
      </c>
      <c r="G18" t="s">
        <v>35</v>
      </c>
      <c r="H18" s="4" t="str">
        <f t="shared" si="1"/>
        <v>*PH-0004-14*</v>
      </c>
    </row>
    <row r="19" spans="3:8">
      <c r="C19">
        <f>IF(AND(E19="",F19=""),"",ROW(D15))</f>
        <v>15</v>
      </c>
      <c r="D19" t="str">
        <f>IFERROR(IF(AND(E19="",F19="",C19=""),"",INDEX('Brand Name'!$D$6:$D$1000,MATCH('Product Item'!E19,'Brand Name'!$E$6:$E$1000,0),0)&amp; "-"&amp; INDEX('Category Item'!$D$6:$D$1000,MATCH('Product Item'!F19,'Category Item'!$E$6:$E$1000,0),0)&amp; "-"&amp; $C19),"Data Belum Lengkap")</f>
        <v>SA-0005-15</v>
      </c>
      <c r="E19" t="s">
        <v>18</v>
      </c>
      <c r="F19" t="s">
        <v>14</v>
      </c>
      <c r="G19" t="s">
        <v>43</v>
      </c>
      <c r="H19" s="4" t="str">
        <f t="shared" si="1"/>
        <v>*SA-0005-15*</v>
      </c>
    </row>
    <row r="20" spans="3:8">
      <c r="C20">
        <f t="shared" ref="C20:C21" si="2">IF(AND(E20="",F20=""),"",ROW(D16))</f>
        <v>16</v>
      </c>
      <c r="D20" t="str">
        <f>IFERROR(IF(AND(E20="",F20="",C20=""),"",INDEX('Brand Name'!$D$6:$D$1000,MATCH('Product Item'!E20,'Brand Name'!$E$6:$E$1000,0),0)&amp; "-"&amp; INDEX('Category Item'!$D$6:$D$1000,MATCH('Product Item'!F20,'Category Item'!$E$6:$E$1000,0),0)&amp; "-"&amp; $C20),"Data Belum Lengkap")</f>
        <v>AP-0002-16</v>
      </c>
      <c r="E20" t="s">
        <v>19</v>
      </c>
      <c r="F20" t="s">
        <v>7</v>
      </c>
      <c r="G20" t="s">
        <v>103</v>
      </c>
      <c r="H20" s="4" t="str">
        <f t="shared" si="1"/>
        <v>*AP-0002-16*</v>
      </c>
    </row>
    <row r="21" spans="3:8">
      <c r="C21">
        <f t="shared" si="2"/>
        <v>17</v>
      </c>
      <c r="D21" t="str">
        <f>IFERROR(IF(AND(E21="",F21="",C21=""),"",INDEX('Brand Name'!$D$6:$D$1000,MATCH('Product Item'!E21,'Brand Name'!$E$6:$E$1000,0),0)&amp; "-"&amp; INDEX('Category Item'!$D$6:$D$1000,MATCH('Product Item'!F21,'Category Item'!$E$6:$E$1000,0),0)&amp; "-"&amp; $C21),"Data Belum Lengkap")</f>
        <v>PH-0004-17</v>
      </c>
      <c r="E21" t="s">
        <v>20</v>
      </c>
      <c r="F21" t="s">
        <v>22</v>
      </c>
      <c r="G21" t="s">
        <v>105</v>
      </c>
      <c r="H21" s="4" t="str">
        <f t="shared" si="1"/>
        <v>*PH-0004-17*</v>
      </c>
    </row>
    <row r="22" spans="3:8">
      <c r="C22">
        <f t="shared" si="0"/>
        <v>17</v>
      </c>
      <c r="D22" t="str">
        <f>IFERROR(IF(AND(E22="",F22="",C22=""),"",INDEX('Brand Name'!$D$6:$D$1000,MATCH('Product Item'!E22,'Brand Name'!$E$6:$E$1000,0),0)&amp; "-"&amp; INDEX('Category Item'!$D$6:$D$1000,MATCH('Product Item'!F22,'Category Item'!$E$6:$E$1000,0),0)&amp; "-"&amp; $C22),"Data Belum Lengkap")</f>
        <v>AS-0002-17</v>
      </c>
      <c r="E22" t="s">
        <v>17</v>
      </c>
      <c r="F22" t="s">
        <v>7</v>
      </c>
      <c r="G22" t="s">
        <v>142</v>
      </c>
      <c r="H22" s="4" t="str">
        <f t="shared" si="1"/>
        <v>*AS-0002-17*</v>
      </c>
    </row>
    <row r="23" spans="3:8">
      <c r="C23">
        <f t="shared" si="0"/>
        <v>18</v>
      </c>
      <c r="D23" t="str">
        <f>IFERROR(IF(AND(E23="",F23="",C23=""),"",INDEX('Brand Name'!$D$6:$D$1000,MATCH('Product Item'!E23,'Brand Name'!$E$6:$E$1000,0),0)&amp; "-"&amp; INDEX('Category Item'!$D$6:$D$1000,MATCH('Product Item'!F23,'Category Item'!$E$6:$E$1000,0),0)&amp; "-"&amp; $C23),"Data Belum Lengkap")</f>
        <v>LG-0001-18</v>
      </c>
      <c r="E23" t="s">
        <v>5</v>
      </c>
      <c r="F23" t="s">
        <v>6</v>
      </c>
      <c r="G23" t="s">
        <v>154</v>
      </c>
      <c r="H23" s="4" t="str">
        <f t="shared" si="1"/>
        <v>*LG-0001-18*</v>
      </c>
    </row>
    <row r="24" spans="3:8">
      <c r="C24">
        <f t="shared" si="0"/>
        <v>19</v>
      </c>
      <c r="D24" t="str">
        <f>IFERROR(IF(AND(E24="",F24="",C24=""),"",INDEX('Brand Name'!$D$6:$D$1000,MATCH('Product Item'!E24,'Brand Name'!$E$6:$E$1000,0),0)&amp; "-"&amp; INDEX('Category Item'!$D$6:$D$1000,MATCH('Product Item'!F24,'Category Item'!$E$6:$E$1000,0),0)&amp; "-"&amp; $C24),"Data Belum Lengkap")</f>
        <v>SA-0002-19</v>
      </c>
      <c r="E24" t="s">
        <v>18</v>
      </c>
      <c r="F24" t="s">
        <v>7</v>
      </c>
      <c r="G24" t="s">
        <v>155</v>
      </c>
      <c r="H24" s="4" t="str">
        <f t="shared" si="1"/>
        <v>*SA-0002-19*</v>
      </c>
    </row>
    <row r="25" spans="3:8">
      <c r="C25">
        <f t="shared" si="0"/>
        <v>20</v>
      </c>
      <c r="D25" t="str">
        <f>IFERROR(IF(AND(E25="",F25="",C25=""),"",INDEX('Brand Name'!$D$6:$D$1000,MATCH('Product Item'!E25,'Brand Name'!$E$6:$E$1000,0),0)&amp; "-"&amp; INDEX('Category Item'!$D$6:$D$1000,MATCH('Product Item'!F25,'Category Item'!$E$6:$E$1000,0),0)&amp; "-"&amp; $C25),"Data Belum Lengkap")</f>
        <v>AS-0006-20</v>
      </c>
      <c r="E25" t="s">
        <v>17</v>
      </c>
      <c r="F25" t="s">
        <v>9</v>
      </c>
      <c r="G25" t="s">
        <v>156</v>
      </c>
      <c r="H25" s="4" t="str">
        <f t="shared" si="1"/>
        <v>*AS-0006-20*</v>
      </c>
    </row>
    <row r="26" spans="3:8">
      <c r="C26">
        <f t="shared" si="0"/>
        <v>21</v>
      </c>
      <c r="D26" t="str">
        <f>IFERROR(IF(AND(E26="",F26="",C26=""),"",INDEX('Brand Name'!$D$6:$D$1000,MATCH('Product Item'!E26,'Brand Name'!$E$6:$E$1000,0),0)&amp; "-"&amp; INDEX('Category Item'!$D$6:$D$1000,MATCH('Product Item'!F26,'Category Item'!$E$6:$E$1000,0),0)&amp; "-"&amp; $C26),"Data Belum Lengkap")</f>
        <v>PH-0004-21</v>
      </c>
      <c r="E26" t="s">
        <v>20</v>
      </c>
      <c r="F26" t="s">
        <v>22</v>
      </c>
      <c r="G26" t="s">
        <v>157</v>
      </c>
      <c r="H26" s="4" t="str">
        <f t="shared" si="1"/>
        <v>*PH-0004-21*</v>
      </c>
    </row>
    <row r="27" spans="3:8">
      <c r="C27">
        <f t="shared" si="0"/>
        <v>22</v>
      </c>
      <c r="D27" t="str">
        <f>IFERROR(IF(AND(E27="",F27="",C27=""),"",INDEX('Brand Name'!$D$6:$D$1000,MATCH('Product Item'!E27,'Brand Name'!$E$6:$E$1000,0),0)&amp; "-"&amp; INDEX('Category Item'!$D$6:$D$1000,MATCH('Product Item'!F27,'Category Item'!$E$6:$E$1000,0),0)&amp; "-"&amp; $C27),"Data Belum Lengkap")</f>
        <v>SA-0001-22</v>
      </c>
      <c r="E27" t="s">
        <v>18</v>
      </c>
      <c r="F27" t="s">
        <v>6</v>
      </c>
      <c r="G27" t="s">
        <v>158</v>
      </c>
      <c r="H27" s="4" t="str">
        <f t="shared" si="1"/>
        <v>*SA-0001-22*</v>
      </c>
    </row>
    <row r="28" spans="3:8">
      <c r="C28">
        <f t="shared" si="0"/>
        <v>23</v>
      </c>
      <c r="D28" t="str">
        <f>IFERROR(IF(AND(E28="",F28="",C28=""),"",INDEX('Brand Name'!$D$6:$D$1000,MATCH('Product Item'!E28,'Brand Name'!$E$6:$E$1000,0),0)&amp; "-"&amp; INDEX('Category Item'!$D$6:$D$1000,MATCH('Product Item'!F28,'Category Item'!$E$6:$E$1000,0),0)&amp; "-"&amp; $C28),"Data Belum Lengkap")</f>
        <v>AP-0002-23</v>
      </c>
      <c r="E28" t="s">
        <v>19</v>
      </c>
      <c r="F28" t="s">
        <v>7</v>
      </c>
      <c r="G28" t="s">
        <v>159</v>
      </c>
      <c r="H28" s="4" t="str">
        <f t="shared" si="1"/>
        <v>*AP-0002-23*</v>
      </c>
    </row>
    <row r="29" spans="3:8">
      <c r="C29">
        <f t="shared" si="0"/>
        <v>24</v>
      </c>
      <c r="D29" t="str">
        <f>IFERROR(IF(AND(E29="",F29="",C29=""),"",INDEX('Brand Name'!$D$6:$D$1000,MATCH('Product Item'!E29,'Brand Name'!$E$6:$E$1000,0),0)&amp; "-"&amp; INDEX('Category Item'!$D$6:$D$1000,MATCH('Product Item'!F29,'Category Item'!$E$6:$E$1000,0),0)&amp; "-"&amp; $C29),"Data Belum Lengkap")</f>
        <v>LG-0003-24</v>
      </c>
      <c r="E29" t="s">
        <v>5</v>
      </c>
      <c r="F29" t="s">
        <v>8</v>
      </c>
      <c r="G29" t="s">
        <v>160</v>
      </c>
      <c r="H29" s="4" t="str">
        <f t="shared" si="1"/>
        <v>*LG-0003-24*</v>
      </c>
    </row>
    <row r="30" spans="3:8">
      <c r="C30" t="str">
        <f t="shared" si="0"/>
        <v/>
      </c>
      <c r="D30" t="str">
        <f>IFERROR(IF(AND(E30="",F30="",C30=""),"",INDEX('Brand Name'!$D$6:$D$1000,MATCH('Product Item'!E30,'Brand Name'!$E$6:$E$1000,0),0)&amp; "-"&amp; INDEX('Category Item'!$D$6:$D$1000,MATCH('Product Item'!F30,'Category Item'!$E$6:$E$1000,0),0)&amp; "-"&amp; $C30),"Data Belum Lengkap")</f>
        <v/>
      </c>
      <c r="H30" s="4" t="str">
        <f t="shared" si="1"/>
        <v/>
      </c>
    </row>
    <row r="31" spans="3:8">
      <c r="C31" t="str">
        <f t="shared" si="0"/>
        <v/>
      </c>
      <c r="D31" t="str">
        <f>IFERROR(IF(AND(E31="",F31="",C31=""),"",INDEX('Brand Name'!$D$6:$D$1000,MATCH('Product Item'!E31,'Brand Name'!$E$6:$E$1000,0),0)&amp; "-"&amp; INDEX('Category Item'!$D$6:$D$1000,MATCH('Product Item'!F31,'Category Item'!$E$6:$E$1000,0),0)&amp; "-"&amp; $C31),"Data Belum Lengkap")</f>
        <v/>
      </c>
      <c r="H31" s="4" t="str">
        <f t="shared" si="1"/>
        <v/>
      </c>
    </row>
    <row r="32" spans="3:8">
      <c r="C32" t="str">
        <f t="shared" si="0"/>
        <v/>
      </c>
      <c r="D32" t="str">
        <f>IFERROR(IF(AND(E32="",F32="",C32=""),"",INDEX('Brand Name'!$D$6:$D$1000,MATCH('Product Item'!E32,'Brand Name'!$E$6:$E$1000,0),0)&amp; "-"&amp; INDEX('Category Item'!$D$6:$D$1000,MATCH('Product Item'!F32,'Category Item'!$E$6:$E$1000,0),0)&amp; "-"&amp; $C32),"Data Belum Lengkap")</f>
        <v/>
      </c>
      <c r="H32" s="4" t="str">
        <f t="shared" si="1"/>
        <v/>
      </c>
    </row>
    <row r="33" spans="3:8">
      <c r="C33" t="str">
        <f t="shared" si="0"/>
        <v/>
      </c>
      <c r="D33" t="str">
        <f>IFERROR(IF(AND(E33="",F33="",C33=""),"",INDEX('Brand Name'!$D$6:$D$1000,MATCH('Product Item'!E33,'Brand Name'!$E$6:$E$1000,0),0)&amp; "-"&amp; INDEX('Category Item'!$D$6:$D$1000,MATCH('Product Item'!F33,'Category Item'!$E$6:$E$1000,0),0)&amp; "-"&amp; $C33),"Data Belum Lengkap")</f>
        <v/>
      </c>
      <c r="H33" s="4" t="str">
        <f t="shared" si="1"/>
        <v/>
      </c>
    </row>
    <row r="34" spans="3:8">
      <c r="C34" t="str">
        <f t="shared" si="0"/>
        <v/>
      </c>
      <c r="D34" t="str">
        <f>IFERROR(IF(AND(E34="",F34="",C34=""),"",INDEX('Brand Name'!$D$6:$D$1000,MATCH('Product Item'!E34,'Brand Name'!$E$6:$E$1000,0),0)&amp; "-"&amp; INDEX('Category Item'!$D$6:$D$1000,MATCH('Product Item'!F34,'Category Item'!$E$6:$E$1000,0),0)&amp; "-"&amp; $C34),"Data Belum Lengkap")</f>
        <v/>
      </c>
      <c r="H34" s="4" t="str">
        <f t="shared" si="1"/>
        <v/>
      </c>
    </row>
    <row r="35" spans="3:8">
      <c r="C35" t="str">
        <f t="shared" si="0"/>
        <v/>
      </c>
      <c r="D35" t="str">
        <f>IFERROR(IF(AND(E35="",F35="",C35=""),"",INDEX('Brand Name'!$D$6:$D$1000,MATCH('Product Item'!E35,'Brand Name'!$E$6:$E$1000,0),0)&amp; "-"&amp; INDEX('Category Item'!$D$6:$D$1000,MATCH('Product Item'!F35,'Category Item'!$E$6:$E$1000,0),0)&amp; "-"&amp; $C35),"Data Belum Lengkap")</f>
        <v/>
      </c>
      <c r="H35" s="4" t="str">
        <f t="shared" si="1"/>
        <v/>
      </c>
    </row>
    <row r="36" spans="3:8">
      <c r="C36" t="str">
        <f t="shared" si="0"/>
        <v/>
      </c>
      <c r="D36" t="str">
        <f>IFERROR(IF(AND(E36="",F36="",C36=""),"",INDEX('Brand Name'!$D$6:$D$1000,MATCH('Product Item'!E36,'Brand Name'!$E$6:$E$1000,0),0)&amp; "-"&amp; INDEX('Category Item'!$D$6:$D$1000,MATCH('Product Item'!F36,'Category Item'!$E$6:$E$1000,0),0)&amp; "-"&amp; $C36),"Data Belum Lengkap")</f>
        <v/>
      </c>
      <c r="H36" s="4" t="str">
        <f t="shared" si="1"/>
        <v/>
      </c>
    </row>
    <row r="37" spans="3:8">
      <c r="C37" t="str">
        <f t="shared" si="0"/>
        <v/>
      </c>
      <c r="D37" t="str">
        <f>IFERROR(IF(AND(E37="",F37="",C37=""),"",INDEX('Brand Name'!$D$6:$D$1000,MATCH('Product Item'!E37,'Brand Name'!$E$6:$E$1000,0),0)&amp; "-"&amp; INDEX('Category Item'!$D$6:$D$1000,MATCH('Product Item'!F37,'Category Item'!$E$6:$E$1000,0),0)&amp; "-"&amp; $C37),"Data Belum Lengkap")</f>
        <v/>
      </c>
      <c r="H37" s="4" t="str">
        <f t="shared" si="1"/>
        <v/>
      </c>
    </row>
    <row r="38" spans="3:8">
      <c r="C38" t="str">
        <f t="shared" si="0"/>
        <v/>
      </c>
      <c r="D38" t="str">
        <f>IFERROR(IF(AND(E38="",F38="",C38=""),"",INDEX('Brand Name'!$D$6:$D$1000,MATCH('Product Item'!E38,'Brand Name'!$E$6:$E$1000,0),0)&amp; "-"&amp; INDEX('Category Item'!$D$6:$D$1000,MATCH('Product Item'!F38,'Category Item'!$E$6:$E$1000,0),0)&amp; "-"&amp; $C38),"Data Belum Lengkap")</f>
        <v/>
      </c>
      <c r="H38" s="4" t="str">
        <f t="shared" si="1"/>
        <v/>
      </c>
    </row>
    <row r="39" spans="3:8">
      <c r="C39" t="str">
        <f t="shared" si="0"/>
        <v/>
      </c>
      <c r="D39" t="str">
        <f>IFERROR(IF(AND(E39="",F39="",C39=""),"",INDEX('Brand Name'!$D$6:$D$1000,MATCH('Product Item'!E39,'Brand Name'!$E$6:$E$1000,0),0)&amp; "-"&amp; INDEX('Category Item'!$D$6:$D$1000,MATCH('Product Item'!F39,'Category Item'!$E$6:$E$1000,0),0)&amp; "-"&amp; $C39),"Data Belum Lengkap")</f>
        <v/>
      </c>
      <c r="H39" s="4" t="str">
        <f t="shared" si="1"/>
        <v/>
      </c>
    </row>
    <row r="40" spans="3:8">
      <c r="C40" t="str">
        <f t="shared" si="0"/>
        <v/>
      </c>
      <c r="D40" t="str">
        <f>IFERROR(IF(AND(E40="",F40="",C40=""),"",INDEX('Brand Name'!$D$6:$D$1000,MATCH('Product Item'!E40,'Brand Name'!$E$6:$E$1000,0),0)&amp; "-"&amp; INDEX('Category Item'!$D$6:$D$1000,MATCH('Product Item'!F40,'Category Item'!$E$6:$E$1000,0),0)&amp; "-"&amp; $C40),"Data Belum Lengkap")</f>
        <v/>
      </c>
      <c r="H40" s="4" t="str">
        <f t="shared" si="1"/>
        <v/>
      </c>
    </row>
    <row r="41" spans="3:8">
      <c r="C41" t="str">
        <f t="shared" si="0"/>
        <v/>
      </c>
      <c r="D41" t="str">
        <f>IFERROR(IF(AND(E41="",F41="",C41=""),"",INDEX('Brand Name'!$D$6:$D$1000,MATCH('Product Item'!E41,'Brand Name'!$E$6:$E$1000,0),0)&amp; "-"&amp; INDEX('Category Item'!$D$6:$D$1000,MATCH('Product Item'!F41,'Category Item'!$E$6:$E$1000,0),0)&amp; "-"&amp; $C41),"Data Belum Lengkap")</f>
        <v/>
      </c>
      <c r="H41" s="4" t="str">
        <f t="shared" si="1"/>
        <v/>
      </c>
    </row>
    <row r="42" spans="3:8">
      <c r="C42" t="str">
        <f t="shared" si="0"/>
        <v/>
      </c>
      <c r="D42" t="str">
        <f>IFERROR(IF(AND(E42="",F42="",C42=""),"",INDEX('Brand Name'!$D$6:$D$1000,MATCH('Product Item'!E42,'Brand Name'!$E$6:$E$1000,0),0)&amp; "-"&amp; INDEX('Category Item'!$D$6:$D$1000,MATCH('Product Item'!F42,'Category Item'!$E$6:$E$1000,0),0)&amp; "-"&amp; $C42),"Data Belum Lengkap")</f>
        <v/>
      </c>
      <c r="H42" s="4" t="str">
        <f t="shared" si="1"/>
        <v/>
      </c>
    </row>
    <row r="43" spans="3:8">
      <c r="C43" t="str">
        <f t="shared" si="0"/>
        <v/>
      </c>
      <c r="D43" t="str">
        <f>IFERROR(IF(AND(E43="",F43="",C43=""),"",INDEX('Brand Name'!$D$6:$D$1000,MATCH('Product Item'!E43,'Brand Name'!$E$6:$E$1000,0),0)&amp; "-"&amp; INDEX('Category Item'!$D$6:$D$1000,MATCH('Product Item'!F43,'Category Item'!$E$6:$E$1000,0),0)&amp; "-"&amp; $C43),"Data Belum Lengkap")</f>
        <v/>
      </c>
      <c r="H43" s="4" t="str">
        <f t="shared" si="1"/>
        <v/>
      </c>
    </row>
    <row r="44" spans="3:8">
      <c r="C44" t="str">
        <f t="shared" si="0"/>
        <v/>
      </c>
      <c r="D44" t="str">
        <f>IFERROR(IF(AND(E44="",F44="",C44=""),"",INDEX('Brand Name'!$D$6:$D$1000,MATCH('Product Item'!E44,'Brand Name'!$E$6:$E$1000,0),0)&amp; "-"&amp; INDEX('Category Item'!$D$6:$D$1000,MATCH('Product Item'!F44,'Category Item'!$E$6:$E$1000,0),0)&amp; "-"&amp; $C44),"Data Belum Lengkap")</f>
        <v/>
      </c>
      <c r="H44" s="4" t="str">
        <f t="shared" si="1"/>
        <v/>
      </c>
    </row>
    <row r="45" spans="3:8">
      <c r="C45" t="str">
        <f t="shared" si="0"/>
        <v/>
      </c>
      <c r="D45" t="str">
        <f>IFERROR(IF(AND(E45="",F45="",C45=""),"",INDEX('Brand Name'!$D$6:$D$1000,MATCH('Product Item'!E45,'Brand Name'!$E$6:$E$1000,0),0)&amp; "-"&amp; INDEX('Category Item'!$D$6:$D$1000,MATCH('Product Item'!F45,'Category Item'!$E$6:$E$1000,0),0)&amp; "-"&amp; $C45),"Data Belum Lengkap")</f>
        <v/>
      </c>
      <c r="H45" s="4" t="str">
        <f t="shared" si="1"/>
        <v/>
      </c>
    </row>
    <row r="46" spans="3:8">
      <c r="C46" t="str">
        <f t="shared" si="0"/>
        <v/>
      </c>
      <c r="D46" t="str">
        <f>IFERROR(IF(AND(E46="",F46="",C46=""),"",INDEX('Brand Name'!$D$6:$D$1000,MATCH('Product Item'!E46,'Brand Name'!$E$6:$E$1000,0),0)&amp; "-"&amp; INDEX('Category Item'!$D$6:$D$1000,MATCH('Product Item'!F46,'Category Item'!$E$6:$E$1000,0),0)&amp; "-"&amp; $C46),"Data Belum Lengkap")</f>
        <v/>
      </c>
      <c r="H46" s="4" t="str">
        <f t="shared" si="1"/>
        <v/>
      </c>
    </row>
    <row r="47" spans="3:8">
      <c r="C47" t="str">
        <f t="shared" si="0"/>
        <v/>
      </c>
      <c r="D47" t="str">
        <f>IFERROR(IF(AND(E47="",F47="",C47=""),"",INDEX('Brand Name'!$D$6:$D$1000,MATCH('Product Item'!E47,'Brand Name'!$E$6:$E$1000,0),0)&amp; "-"&amp; INDEX('Category Item'!$D$6:$D$1000,MATCH('Product Item'!F47,'Category Item'!$E$6:$E$1000,0),0)&amp; "-"&amp; $C47),"Data Belum Lengkap")</f>
        <v/>
      </c>
      <c r="H47" s="4" t="str">
        <f t="shared" si="1"/>
        <v/>
      </c>
    </row>
    <row r="48" spans="3:8">
      <c r="C48" t="str">
        <f t="shared" si="0"/>
        <v/>
      </c>
      <c r="D48" t="str">
        <f>IFERROR(IF(AND(E48="",F48="",C48=""),"",INDEX('Brand Name'!$D$6:$D$1000,MATCH('Product Item'!E48,'Brand Name'!$E$6:$E$1000,0),0)&amp; "-"&amp; INDEX('Category Item'!$D$6:$D$1000,MATCH('Product Item'!F48,'Category Item'!$E$6:$E$1000,0),0)&amp; "-"&amp; $C48),"Data Belum Lengkap")</f>
        <v/>
      </c>
      <c r="H48" s="4" t="str">
        <f t="shared" si="1"/>
        <v/>
      </c>
    </row>
    <row r="49" spans="3:8">
      <c r="C49" t="str">
        <f t="shared" si="0"/>
        <v/>
      </c>
      <c r="D49" t="str">
        <f>IFERROR(IF(AND(E49="",F49="",C49=""),"",INDEX('Brand Name'!$D$6:$D$1000,MATCH('Product Item'!E49,'Brand Name'!$E$6:$E$1000,0),0)&amp; "-"&amp; INDEX('Category Item'!$D$6:$D$1000,MATCH('Product Item'!F49,'Category Item'!$E$6:$E$1000,0),0)&amp; "-"&amp; $C49),"Data Belum Lengkap")</f>
        <v/>
      </c>
      <c r="H49" s="4" t="str">
        <f t="shared" si="1"/>
        <v/>
      </c>
    </row>
    <row r="50" spans="3:8">
      <c r="C50" t="str">
        <f t="shared" si="0"/>
        <v/>
      </c>
      <c r="D50" t="str">
        <f>IFERROR(IF(AND(E50="",F50="",C50=""),"",INDEX('Brand Name'!$D$6:$D$1000,MATCH('Product Item'!E50,'Brand Name'!$E$6:$E$1000,0),0)&amp; "-"&amp; INDEX('Category Item'!$D$6:$D$1000,MATCH('Product Item'!F50,'Category Item'!$E$6:$E$1000,0),0)&amp; "-"&amp; $C50),"Data Belum Lengkap")</f>
        <v/>
      </c>
      <c r="H50" s="4" t="str">
        <f t="shared" si="1"/>
        <v/>
      </c>
    </row>
    <row r="51" spans="3:8">
      <c r="C51" t="str">
        <f t="shared" si="0"/>
        <v/>
      </c>
      <c r="D51" t="str">
        <f>IFERROR(IF(AND(E51="",F51="",C51=""),"",INDEX('Brand Name'!$D$6:$D$1000,MATCH('Product Item'!E51,'Brand Name'!$E$6:$E$1000,0),0)&amp; "-"&amp; INDEX('Category Item'!$D$6:$D$1000,MATCH('Product Item'!F51,'Category Item'!$E$6:$E$1000,0),0)&amp; "-"&amp; $C51),"Data Belum Lengkap")</f>
        <v/>
      </c>
      <c r="H51" s="4" t="str">
        <f t="shared" si="1"/>
        <v/>
      </c>
    </row>
    <row r="52" spans="3:8">
      <c r="C52" t="str">
        <f t="shared" si="0"/>
        <v/>
      </c>
      <c r="D52" t="str">
        <f>IFERROR(IF(AND(E52="",F52="",C52=""),"",INDEX('Brand Name'!$D$6:$D$1000,MATCH('Product Item'!E52,'Brand Name'!$E$6:$E$1000,0),0)&amp; "-"&amp; INDEX('Category Item'!$D$6:$D$1000,MATCH('Product Item'!F52,'Category Item'!$E$6:$E$1000,0),0)&amp; "-"&amp; $C52),"Data Belum Lengkap")</f>
        <v/>
      </c>
      <c r="H52" s="4" t="str">
        <f t="shared" si="1"/>
        <v/>
      </c>
    </row>
    <row r="53" spans="3:8">
      <c r="C53" t="str">
        <f t="shared" si="0"/>
        <v/>
      </c>
      <c r="D53" t="str">
        <f>IFERROR(IF(AND(E53="",F53="",C53=""),"",INDEX('Brand Name'!$D$6:$D$1000,MATCH('Product Item'!E53,'Brand Name'!$E$6:$E$1000,0),0)&amp; "-"&amp; INDEX('Category Item'!$D$6:$D$1000,MATCH('Product Item'!F53,'Category Item'!$E$6:$E$1000,0),0)&amp; "-"&amp; $C53),"Data Belum Lengkap")</f>
        <v/>
      </c>
      <c r="H53" s="4" t="str">
        <f t="shared" si="1"/>
        <v/>
      </c>
    </row>
    <row r="54" spans="3:8">
      <c r="C54" t="str">
        <f t="shared" si="0"/>
        <v/>
      </c>
      <c r="D54" t="str">
        <f>IFERROR(IF(AND(E54="",F54="",C54=""),"",INDEX('Brand Name'!$D$6:$D$1000,MATCH('Product Item'!E54,'Brand Name'!$E$6:$E$1000,0),0)&amp; "-"&amp; INDEX('Category Item'!$D$6:$D$1000,MATCH('Product Item'!F54,'Category Item'!$E$6:$E$1000,0),0)&amp; "-"&amp; $C54),"Data Belum Lengkap")</f>
        <v/>
      </c>
      <c r="H54" s="4" t="str">
        <f t="shared" si="1"/>
        <v/>
      </c>
    </row>
    <row r="55" spans="3:8">
      <c r="C55" t="str">
        <f t="shared" si="0"/>
        <v/>
      </c>
      <c r="D55" t="str">
        <f>IFERROR(IF(AND(E55="",F55="",C55=""),"",INDEX('Brand Name'!$D$6:$D$1000,MATCH('Product Item'!E55,'Brand Name'!$E$6:$E$1000,0),0)&amp; "-"&amp; INDEX('Category Item'!$D$6:$D$1000,MATCH('Product Item'!F55,'Category Item'!$E$6:$E$1000,0),0)&amp; "-"&amp; $C55),"Data Belum Lengkap")</f>
        <v/>
      </c>
      <c r="H55" s="4" t="str">
        <f t="shared" si="1"/>
        <v/>
      </c>
    </row>
    <row r="56" spans="3:8">
      <c r="C56" t="str">
        <f t="shared" si="0"/>
        <v/>
      </c>
      <c r="D56" t="str">
        <f>IFERROR(IF(AND(E56="",F56="",C56=""),"",INDEX('Brand Name'!$D$6:$D$1000,MATCH('Product Item'!E56,'Brand Name'!$E$6:$E$1000,0),0)&amp; "-"&amp; INDEX('Category Item'!$D$6:$D$1000,MATCH('Product Item'!F56,'Category Item'!$E$6:$E$1000,0),0)&amp; "-"&amp; $C56),"Data Belum Lengkap")</f>
        <v/>
      </c>
      <c r="H56" s="4" t="str">
        <f t="shared" si="1"/>
        <v/>
      </c>
    </row>
    <row r="57" spans="3:8">
      <c r="C57" t="str">
        <f t="shared" si="0"/>
        <v/>
      </c>
      <c r="D57" t="str">
        <f>IFERROR(IF(AND(E57="",F57="",C57=""),"",INDEX('Brand Name'!$D$6:$D$1000,MATCH('Product Item'!E57,'Brand Name'!$E$6:$E$1000,0),0)&amp; "-"&amp; INDEX('Category Item'!$D$6:$D$1000,MATCH('Product Item'!F57,'Category Item'!$E$6:$E$1000,0),0)&amp; "-"&amp; $C57),"Data Belum Lengkap")</f>
        <v/>
      </c>
      <c r="H57" s="4" t="str">
        <f t="shared" si="1"/>
        <v/>
      </c>
    </row>
    <row r="58" spans="3:8">
      <c r="C58" t="str">
        <f t="shared" si="0"/>
        <v/>
      </c>
      <c r="D58" t="str">
        <f>IFERROR(IF(AND(E58="",F58="",C58=""),"",INDEX('Brand Name'!$D$6:$D$1000,MATCH('Product Item'!E58,'Brand Name'!$E$6:$E$1000,0),0)&amp; "-"&amp; INDEX('Category Item'!$D$6:$D$1000,MATCH('Product Item'!F58,'Category Item'!$E$6:$E$1000,0),0)&amp; "-"&amp; $C58),"Data Belum Lengkap")</f>
        <v/>
      </c>
      <c r="H58" s="4" t="str">
        <f t="shared" si="1"/>
        <v/>
      </c>
    </row>
    <row r="59" spans="3:8">
      <c r="C59" t="str">
        <f t="shared" si="0"/>
        <v/>
      </c>
      <c r="D59" t="str">
        <f>IFERROR(IF(AND(E59="",F59="",C59=""),"",INDEX('Brand Name'!$D$6:$D$1000,MATCH('Product Item'!E59,'Brand Name'!$E$6:$E$1000,0),0)&amp; "-"&amp; INDEX('Category Item'!$D$6:$D$1000,MATCH('Product Item'!F59,'Category Item'!$E$6:$E$1000,0),0)&amp; "-"&amp; $C59),"Data Belum Lengkap")</f>
        <v/>
      </c>
      <c r="H59" s="4" t="str">
        <f t="shared" si="1"/>
        <v/>
      </c>
    </row>
    <row r="60" spans="3:8">
      <c r="C60" t="str">
        <f t="shared" si="0"/>
        <v/>
      </c>
      <c r="D60" t="str">
        <f>IFERROR(IF(AND(E60="",F60="",C60=""),"",INDEX('Brand Name'!$D$6:$D$1000,MATCH('Product Item'!E60,'Brand Name'!$E$6:$E$1000,0),0)&amp; "-"&amp; INDEX('Category Item'!$D$6:$D$1000,MATCH('Product Item'!F60,'Category Item'!$E$6:$E$1000,0),0)&amp; "-"&amp; $C60),"Data Belum Lengkap")</f>
        <v/>
      </c>
      <c r="H60" s="4" t="str">
        <f t="shared" si="1"/>
        <v/>
      </c>
    </row>
    <row r="61" spans="3:8">
      <c r="C61" t="str">
        <f t="shared" si="0"/>
        <v/>
      </c>
      <c r="D61" t="str">
        <f>IFERROR(IF(AND(E61="",F61="",C61=""),"",INDEX('Brand Name'!$D$6:$D$1000,MATCH('Product Item'!E61,'Brand Name'!$E$6:$E$1000,0),0)&amp; "-"&amp; INDEX('Category Item'!$D$6:$D$1000,MATCH('Product Item'!F61,'Category Item'!$E$6:$E$1000,0),0)&amp; "-"&amp; $C61),"Data Belum Lengkap")</f>
        <v/>
      </c>
      <c r="H61" s="4" t="str">
        <f t="shared" si="1"/>
        <v/>
      </c>
    </row>
    <row r="62" spans="3:8">
      <c r="C62" t="str">
        <f t="shared" si="0"/>
        <v/>
      </c>
      <c r="D62" t="str">
        <f>IFERROR(IF(AND(E62="",F62="",C62=""),"",INDEX('Brand Name'!$D$6:$D$1000,MATCH('Product Item'!E62,'Brand Name'!$E$6:$E$1000,0),0)&amp; "-"&amp; INDEX('Category Item'!$D$6:$D$1000,MATCH('Product Item'!F62,'Category Item'!$E$6:$E$1000,0),0)&amp; "-"&amp; $C62),"Data Belum Lengkap")</f>
        <v/>
      </c>
      <c r="H62" s="4" t="str">
        <f t="shared" si="1"/>
        <v/>
      </c>
    </row>
    <row r="63" spans="3:8">
      <c r="C63" t="str">
        <f t="shared" si="0"/>
        <v/>
      </c>
      <c r="D63" t="str">
        <f>IFERROR(IF(AND(E63="",F63="",C63=""),"",INDEX('Brand Name'!$D$6:$D$1000,MATCH('Product Item'!E63,'Brand Name'!$E$6:$E$1000,0),0)&amp; "-"&amp; INDEX('Category Item'!$D$6:$D$1000,MATCH('Product Item'!F63,'Category Item'!$E$6:$E$1000,0),0)&amp; "-"&amp; $C63),"Data Belum Lengkap")</f>
        <v/>
      </c>
      <c r="H63" s="4" t="str">
        <f t="shared" si="1"/>
        <v/>
      </c>
    </row>
    <row r="64" spans="3:8">
      <c r="C64" t="str">
        <f t="shared" si="0"/>
        <v/>
      </c>
      <c r="D64" t="str">
        <f>IFERROR(IF(AND(E64="",F64="",C64=""),"",INDEX('Brand Name'!$D$6:$D$1000,MATCH('Product Item'!E64,'Brand Name'!$E$6:$E$1000,0),0)&amp; "-"&amp; INDEX('Category Item'!$D$6:$D$1000,MATCH('Product Item'!F64,'Category Item'!$E$6:$E$1000,0),0)&amp; "-"&amp; $C64),"Data Belum Lengkap")</f>
        <v/>
      </c>
      <c r="H64" s="4" t="str">
        <f t="shared" si="1"/>
        <v/>
      </c>
    </row>
    <row r="65" spans="3:8">
      <c r="C65" t="str">
        <f t="shared" si="0"/>
        <v/>
      </c>
      <c r="D65" t="str">
        <f>IFERROR(IF(AND(E65="",F65="",C65=""),"",INDEX('Brand Name'!$D$6:$D$1000,MATCH('Product Item'!E65,'Brand Name'!$E$6:$E$1000,0),0)&amp; "-"&amp; INDEX('Category Item'!$D$6:$D$1000,MATCH('Product Item'!F65,'Category Item'!$E$6:$E$1000,0),0)&amp; "-"&amp; $C65),"Data Belum Lengkap")</f>
        <v/>
      </c>
      <c r="H65" s="4" t="str">
        <f t="shared" si="1"/>
        <v/>
      </c>
    </row>
    <row r="66" spans="3:8">
      <c r="C66" t="str">
        <f t="shared" si="0"/>
        <v/>
      </c>
      <c r="D66" t="str">
        <f>IFERROR(IF(AND(E66="",F66="",C66=""),"",INDEX('Brand Name'!$D$6:$D$1000,MATCH('Product Item'!E66,'Brand Name'!$E$6:$E$1000,0),0)&amp; "-"&amp; INDEX('Category Item'!$D$6:$D$1000,MATCH('Product Item'!F66,'Category Item'!$E$6:$E$1000,0),0)&amp; "-"&amp; $C66),"Data Belum Lengkap")</f>
        <v/>
      </c>
      <c r="H66" s="4" t="str">
        <f t="shared" si="1"/>
        <v/>
      </c>
    </row>
    <row r="67" spans="3:8">
      <c r="C67" t="str">
        <f t="shared" si="0"/>
        <v/>
      </c>
      <c r="D67" t="str">
        <f>IFERROR(IF(AND(E67="",F67="",C67=""),"",INDEX('Brand Name'!$D$6:$D$1000,MATCH('Product Item'!E67,'Brand Name'!$E$6:$E$1000,0),0)&amp; "-"&amp; INDEX('Category Item'!$D$6:$D$1000,MATCH('Product Item'!F67,'Category Item'!$E$6:$E$1000,0),0)&amp; "-"&amp; $C67),"Data Belum Lengkap")</f>
        <v/>
      </c>
      <c r="H67" s="4" t="str">
        <f t="shared" si="1"/>
        <v/>
      </c>
    </row>
    <row r="68" spans="3:8">
      <c r="C68" t="str">
        <f t="shared" si="0"/>
        <v/>
      </c>
      <c r="D68" t="str">
        <f>IFERROR(IF(AND(E68="",F68="",C68=""),"",INDEX('Brand Name'!$D$6:$D$1000,MATCH('Product Item'!E68,'Brand Name'!$E$6:$E$1000,0),0)&amp; "-"&amp; INDEX('Category Item'!$D$6:$D$1000,MATCH('Product Item'!F68,'Category Item'!$E$6:$E$1000,0),0)&amp; "-"&amp; $C68),"Data Belum Lengkap")</f>
        <v/>
      </c>
      <c r="H68" s="4" t="str">
        <f t="shared" si="1"/>
        <v/>
      </c>
    </row>
    <row r="69" spans="3:8">
      <c r="C69" t="str">
        <f t="shared" si="0"/>
        <v/>
      </c>
      <c r="D69" t="str">
        <f>IFERROR(IF(AND(E69="",F69="",C69=""),"",INDEX('Brand Name'!$D$6:$D$1000,MATCH('Product Item'!E69,'Brand Name'!$E$6:$E$1000,0),0)&amp; "-"&amp; INDEX('Category Item'!$D$6:$D$1000,MATCH('Product Item'!F69,'Category Item'!$E$6:$E$1000,0),0)&amp; "-"&amp; $C69),"Data Belum Lengkap")</f>
        <v/>
      </c>
      <c r="H69" s="4" t="str">
        <f t="shared" si="1"/>
        <v/>
      </c>
    </row>
    <row r="70" spans="3:8">
      <c r="C70" t="str">
        <f t="shared" ref="C70:C133" si="3">IF(AND(E70="",F70=""),"",ROW(D65))</f>
        <v/>
      </c>
      <c r="D70" t="str">
        <f>IFERROR(IF(AND(E70="",F70="",C70=""),"",INDEX('Brand Name'!$D$6:$D$1000,MATCH('Product Item'!E70,'Brand Name'!$E$6:$E$1000,0),0)&amp; "-"&amp; INDEX('Category Item'!$D$6:$D$1000,MATCH('Product Item'!F70,'Category Item'!$E$6:$E$1000,0),0)&amp; "-"&amp; $C70),"Data Belum Lengkap")</f>
        <v/>
      </c>
      <c r="H70" s="4" t="str">
        <f t="shared" ref="H70:H133" si="4">IF(D70="","","*"&amp; D70 &amp;"*")</f>
        <v/>
      </c>
    </row>
    <row r="71" spans="3:8">
      <c r="C71" t="str">
        <f t="shared" si="3"/>
        <v/>
      </c>
      <c r="D71" t="str">
        <f>IFERROR(IF(AND(E71="",F71="",C71=""),"",INDEX('Brand Name'!$D$6:$D$1000,MATCH('Product Item'!E71,'Brand Name'!$E$6:$E$1000,0),0)&amp; "-"&amp; INDEX('Category Item'!$D$6:$D$1000,MATCH('Product Item'!F71,'Category Item'!$E$6:$E$1000,0),0)&amp; "-"&amp; $C71),"Data Belum Lengkap")</f>
        <v/>
      </c>
      <c r="H71" s="4" t="str">
        <f t="shared" si="4"/>
        <v/>
      </c>
    </row>
    <row r="72" spans="3:8">
      <c r="C72" t="str">
        <f t="shared" si="3"/>
        <v/>
      </c>
      <c r="D72" t="str">
        <f>IFERROR(IF(AND(E72="",F72="",C72=""),"",INDEX('Brand Name'!$D$6:$D$1000,MATCH('Product Item'!E72,'Brand Name'!$E$6:$E$1000,0),0)&amp; "-"&amp; INDEX('Category Item'!$D$6:$D$1000,MATCH('Product Item'!F72,'Category Item'!$E$6:$E$1000,0),0)&amp; "-"&amp; $C72),"Data Belum Lengkap")</f>
        <v/>
      </c>
      <c r="H72" s="4" t="str">
        <f t="shared" si="4"/>
        <v/>
      </c>
    </row>
    <row r="73" spans="3:8">
      <c r="C73" t="str">
        <f t="shared" si="3"/>
        <v/>
      </c>
      <c r="D73" t="str">
        <f>IFERROR(IF(AND(E73="",F73="",C73=""),"",INDEX('Brand Name'!$D$6:$D$1000,MATCH('Product Item'!E73,'Brand Name'!$E$6:$E$1000,0),0)&amp; "-"&amp; INDEX('Category Item'!$D$6:$D$1000,MATCH('Product Item'!F73,'Category Item'!$E$6:$E$1000,0),0)&amp; "-"&amp; $C73),"Data Belum Lengkap")</f>
        <v/>
      </c>
      <c r="H73" s="4" t="str">
        <f t="shared" si="4"/>
        <v/>
      </c>
    </row>
    <row r="74" spans="3:8">
      <c r="C74" t="str">
        <f t="shared" si="3"/>
        <v/>
      </c>
      <c r="D74" t="str">
        <f>IFERROR(IF(AND(E74="",F74="",C74=""),"",INDEX('Brand Name'!$D$6:$D$1000,MATCH('Product Item'!E74,'Brand Name'!$E$6:$E$1000,0),0)&amp; "-"&amp; INDEX('Category Item'!$D$6:$D$1000,MATCH('Product Item'!F74,'Category Item'!$E$6:$E$1000,0),0)&amp; "-"&amp; $C74),"Data Belum Lengkap")</f>
        <v/>
      </c>
      <c r="H74" s="4" t="str">
        <f t="shared" si="4"/>
        <v/>
      </c>
    </row>
    <row r="75" spans="3:8">
      <c r="C75" t="str">
        <f t="shared" si="3"/>
        <v/>
      </c>
      <c r="D75" t="str">
        <f>IFERROR(IF(AND(E75="",F75="",C75=""),"",INDEX('Brand Name'!$D$6:$D$1000,MATCH('Product Item'!E75,'Brand Name'!$E$6:$E$1000,0),0)&amp; "-"&amp; INDEX('Category Item'!$D$6:$D$1000,MATCH('Product Item'!F75,'Category Item'!$E$6:$E$1000,0),0)&amp; "-"&amp; $C75),"Data Belum Lengkap")</f>
        <v/>
      </c>
      <c r="H75" s="4" t="str">
        <f t="shared" si="4"/>
        <v/>
      </c>
    </row>
    <row r="76" spans="3:8">
      <c r="C76" t="str">
        <f t="shared" si="3"/>
        <v/>
      </c>
      <c r="D76" t="str">
        <f>IFERROR(IF(AND(E76="",F76="",C76=""),"",INDEX('Brand Name'!$D$6:$D$1000,MATCH('Product Item'!E76,'Brand Name'!$E$6:$E$1000,0),0)&amp; "-"&amp; INDEX('Category Item'!$D$6:$D$1000,MATCH('Product Item'!F76,'Category Item'!$E$6:$E$1000,0),0)&amp; "-"&amp; $C76),"Data Belum Lengkap")</f>
        <v/>
      </c>
      <c r="H76" s="4" t="str">
        <f t="shared" si="4"/>
        <v/>
      </c>
    </row>
    <row r="77" spans="3:8">
      <c r="C77" t="str">
        <f t="shared" si="3"/>
        <v/>
      </c>
      <c r="D77" t="str">
        <f>IFERROR(IF(AND(E77="",F77="",C77=""),"",INDEX('Brand Name'!$D$6:$D$1000,MATCH('Product Item'!E77,'Brand Name'!$E$6:$E$1000,0),0)&amp; "-"&amp; INDEX('Category Item'!$D$6:$D$1000,MATCH('Product Item'!F77,'Category Item'!$E$6:$E$1000,0),0)&amp; "-"&amp; $C77),"Data Belum Lengkap")</f>
        <v/>
      </c>
      <c r="H77" s="4" t="str">
        <f t="shared" si="4"/>
        <v/>
      </c>
    </row>
    <row r="78" spans="3:8">
      <c r="C78" t="str">
        <f t="shared" si="3"/>
        <v/>
      </c>
      <c r="D78" t="str">
        <f>IFERROR(IF(AND(E78="",F78="",C78=""),"",INDEX('Brand Name'!$D$6:$D$1000,MATCH('Product Item'!E78,'Brand Name'!$E$6:$E$1000,0),0)&amp; "-"&amp; INDEX('Category Item'!$D$6:$D$1000,MATCH('Product Item'!F78,'Category Item'!$E$6:$E$1000,0),0)&amp; "-"&amp; $C78),"Data Belum Lengkap")</f>
        <v/>
      </c>
      <c r="H78" s="4" t="str">
        <f t="shared" si="4"/>
        <v/>
      </c>
    </row>
    <row r="79" spans="3:8">
      <c r="C79" t="str">
        <f t="shared" si="3"/>
        <v/>
      </c>
      <c r="D79" t="str">
        <f>IFERROR(IF(AND(E79="",F79="",C79=""),"",INDEX('Brand Name'!$D$6:$D$1000,MATCH('Product Item'!E79,'Brand Name'!$E$6:$E$1000,0),0)&amp; "-"&amp; INDEX('Category Item'!$D$6:$D$1000,MATCH('Product Item'!F79,'Category Item'!$E$6:$E$1000,0),0)&amp; "-"&amp; $C79),"Data Belum Lengkap")</f>
        <v/>
      </c>
      <c r="H79" s="4" t="str">
        <f t="shared" si="4"/>
        <v/>
      </c>
    </row>
    <row r="80" spans="3:8">
      <c r="C80" t="str">
        <f t="shared" si="3"/>
        <v/>
      </c>
      <c r="D80" t="str">
        <f>IFERROR(IF(AND(E80="",F80="",C80=""),"",INDEX('Brand Name'!$D$6:$D$1000,MATCH('Product Item'!E80,'Brand Name'!$E$6:$E$1000,0),0)&amp; "-"&amp; INDEX('Category Item'!$D$6:$D$1000,MATCH('Product Item'!F80,'Category Item'!$E$6:$E$1000,0),0)&amp; "-"&amp; $C80),"Data Belum Lengkap")</f>
        <v/>
      </c>
      <c r="H80" s="4" t="str">
        <f t="shared" si="4"/>
        <v/>
      </c>
    </row>
    <row r="81" spans="3:8">
      <c r="C81" t="str">
        <f t="shared" si="3"/>
        <v/>
      </c>
      <c r="D81" t="str">
        <f>IFERROR(IF(AND(E81="",F81="",C81=""),"",INDEX('Brand Name'!$D$6:$D$1000,MATCH('Product Item'!E81,'Brand Name'!$E$6:$E$1000,0),0)&amp; "-"&amp; INDEX('Category Item'!$D$6:$D$1000,MATCH('Product Item'!F81,'Category Item'!$E$6:$E$1000,0),0)&amp; "-"&amp; $C81),"Data Belum Lengkap")</f>
        <v/>
      </c>
      <c r="H81" s="4" t="str">
        <f t="shared" si="4"/>
        <v/>
      </c>
    </row>
    <row r="82" spans="3:8">
      <c r="C82" t="str">
        <f t="shared" si="3"/>
        <v/>
      </c>
      <c r="D82" t="str">
        <f>IFERROR(IF(AND(E82="",F82="",C82=""),"",INDEX('Brand Name'!$D$6:$D$1000,MATCH('Product Item'!E82,'Brand Name'!$E$6:$E$1000,0),0)&amp; "-"&amp; INDEX('Category Item'!$D$6:$D$1000,MATCH('Product Item'!F82,'Category Item'!$E$6:$E$1000,0),0)&amp; "-"&amp; $C82),"Data Belum Lengkap")</f>
        <v/>
      </c>
      <c r="H82" s="4" t="str">
        <f t="shared" si="4"/>
        <v/>
      </c>
    </row>
    <row r="83" spans="3:8">
      <c r="C83" t="str">
        <f t="shared" si="3"/>
        <v/>
      </c>
      <c r="D83" t="str">
        <f>IFERROR(IF(AND(E83="",F83="",C83=""),"",INDEX('Brand Name'!$D$6:$D$1000,MATCH('Product Item'!E83,'Brand Name'!$E$6:$E$1000,0),0)&amp; "-"&amp; INDEX('Category Item'!$D$6:$D$1000,MATCH('Product Item'!F83,'Category Item'!$E$6:$E$1000,0),0)&amp; "-"&amp; $C83),"Data Belum Lengkap")</f>
        <v/>
      </c>
      <c r="H83" s="4" t="str">
        <f t="shared" si="4"/>
        <v/>
      </c>
    </row>
    <row r="84" spans="3:8">
      <c r="C84" t="str">
        <f t="shared" si="3"/>
        <v/>
      </c>
      <c r="D84" t="str">
        <f>IFERROR(IF(AND(E84="",F84="",C84=""),"",INDEX('Brand Name'!$D$6:$D$1000,MATCH('Product Item'!E84,'Brand Name'!$E$6:$E$1000,0),0)&amp; "-"&amp; INDEX('Category Item'!$D$6:$D$1000,MATCH('Product Item'!F84,'Category Item'!$E$6:$E$1000,0),0)&amp; "-"&amp; $C84),"Data Belum Lengkap")</f>
        <v/>
      </c>
      <c r="H84" s="4" t="str">
        <f t="shared" si="4"/>
        <v/>
      </c>
    </row>
    <row r="85" spans="3:8">
      <c r="C85" t="str">
        <f t="shared" si="3"/>
        <v/>
      </c>
      <c r="D85" t="str">
        <f>IFERROR(IF(AND(E85="",F85="",C85=""),"",INDEX('Brand Name'!$D$6:$D$1000,MATCH('Product Item'!E85,'Brand Name'!$E$6:$E$1000,0),0)&amp; "-"&amp; INDEX('Category Item'!$D$6:$D$1000,MATCH('Product Item'!F85,'Category Item'!$E$6:$E$1000,0),0)&amp; "-"&amp; $C85),"Data Belum Lengkap")</f>
        <v/>
      </c>
      <c r="H85" s="4" t="str">
        <f t="shared" si="4"/>
        <v/>
      </c>
    </row>
    <row r="86" spans="3:8">
      <c r="C86" t="str">
        <f t="shared" si="3"/>
        <v/>
      </c>
      <c r="D86" t="str">
        <f>IFERROR(IF(AND(E86="",F86="",C86=""),"",INDEX('Brand Name'!$D$6:$D$1000,MATCH('Product Item'!E86,'Brand Name'!$E$6:$E$1000,0),0)&amp; "-"&amp; INDEX('Category Item'!$D$6:$D$1000,MATCH('Product Item'!F86,'Category Item'!$E$6:$E$1000,0),0)&amp; "-"&amp; $C86),"Data Belum Lengkap")</f>
        <v/>
      </c>
      <c r="H86" s="4" t="str">
        <f t="shared" si="4"/>
        <v/>
      </c>
    </row>
    <row r="87" spans="3:8">
      <c r="C87" t="str">
        <f t="shared" si="3"/>
        <v/>
      </c>
      <c r="D87" t="str">
        <f>IFERROR(IF(AND(E87="",F87="",C87=""),"",INDEX('Brand Name'!$D$6:$D$1000,MATCH('Product Item'!E87,'Brand Name'!$E$6:$E$1000,0),0)&amp; "-"&amp; INDEX('Category Item'!$D$6:$D$1000,MATCH('Product Item'!F87,'Category Item'!$E$6:$E$1000,0),0)&amp; "-"&amp; $C87),"Data Belum Lengkap")</f>
        <v/>
      </c>
      <c r="H87" s="4" t="str">
        <f t="shared" si="4"/>
        <v/>
      </c>
    </row>
    <row r="88" spans="3:8">
      <c r="C88" t="str">
        <f t="shared" si="3"/>
        <v/>
      </c>
      <c r="D88" t="str">
        <f>IFERROR(IF(AND(E88="",F88="",C88=""),"",INDEX('Brand Name'!$D$6:$D$1000,MATCH('Product Item'!E88,'Brand Name'!$E$6:$E$1000,0),0)&amp; "-"&amp; INDEX('Category Item'!$D$6:$D$1000,MATCH('Product Item'!F88,'Category Item'!$E$6:$E$1000,0),0)&amp; "-"&amp; $C88),"Data Belum Lengkap")</f>
        <v/>
      </c>
      <c r="H88" s="4" t="str">
        <f t="shared" si="4"/>
        <v/>
      </c>
    </row>
    <row r="89" spans="3:8">
      <c r="C89" t="str">
        <f t="shared" si="3"/>
        <v/>
      </c>
      <c r="D89" t="str">
        <f>IFERROR(IF(AND(E89="",F89="",C89=""),"",INDEX('Brand Name'!$D$6:$D$1000,MATCH('Product Item'!E89,'Brand Name'!$E$6:$E$1000,0),0)&amp; "-"&amp; INDEX('Category Item'!$D$6:$D$1000,MATCH('Product Item'!F89,'Category Item'!$E$6:$E$1000,0),0)&amp; "-"&amp; $C89),"Data Belum Lengkap")</f>
        <v/>
      </c>
      <c r="H89" s="4" t="str">
        <f t="shared" si="4"/>
        <v/>
      </c>
    </row>
    <row r="90" spans="3:8">
      <c r="C90" t="str">
        <f t="shared" si="3"/>
        <v/>
      </c>
      <c r="D90" t="str">
        <f>IFERROR(IF(AND(E90="",F90="",C90=""),"",INDEX('Brand Name'!$D$6:$D$1000,MATCH('Product Item'!E90,'Brand Name'!$E$6:$E$1000,0),0)&amp; "-"&amp; INDEX('Category Item'!$D$6:$D$1000,MATCH('Product Item'!F90,'Category Item'!$E$6:$E$1000,0),0)&amp; "-"&amp; $C90),"Data Belum Lengkap")</f>
        <v/>
      </c>
      <c r="H90" s="4" t="str">
        <f t="shared" si="4"/>
        <v/>
      </c>
    </row>
    <row r="91" spans="3:8">
      <c r="C91" t="str">
        <f t="shared" si="3"/>
        <v/>
      </c>
      <c r="D91" t="str">
        <f>IFERROR(IF(AND(E91="",F91="",C91=""),"",INDEX('Brand Name'!$D$6:$D$1000,MATCH('Product Item'!E91,'Brand Name'!$E$6:$E$1000,0),0)&amp; "-"&amp; INDEX('Category Item'!$D$6:$D$1000,MATCH('Product Item'!F91,'Category Item'!$E$6:$E$1000,0),0)&amp; "-"&amp; $C91),"Data Belum Lengkap")</f>
        <v/>
      </c>
      <c r="H91" s="4" t="str">
        <f t="shared" si="4"/>
        <v/>
      </c>
    </row>
    <row r="92" spans="3:8">
      <c r="C92" t="str">
        <f t="shared" si="3"/>
        <v/>
      </c>
      <c r="D92" t="str">
        <f>IFERROR(IF(AND(E92="",F92="",C92=""),"",INDEX('Brand Name'!$D$6:$D$1000,MATCH('Product Item'!E92,'Brand Name'!$E$6:$E$1000,0),0)&amp; "-"&amp; INDEX('Category Item'!$D$6:$D$1000,MATCH('Product Item'!F92,'Category Item'!$E$6:$E$1000,0),0)&amp; "-"&amp; $C92),"Data Belum Lengkap")</f>
        <v/>
      </c>
      <c r="H92" s="4" t="str">
        <f t="shared" si="4"/>
        <v/>
      </c>
    </row>
    <row r="93" spans="3:8">
      <c r="C93" t="str">
        <f t="shared" si="3"/>
        <v/>
      </c>
      <c r="D93" t="str">
        <f>IFERROR(IF(AND(E93="",F93="",C93=""),"",INDEX('Brand Name'!$D$6:$D$1000,MATCH('Product Item'!E93,'Brand Name'!$E$6:$E$1000,0),0)&amp; "-"&amp; INDEX('Category Item'!$D$6:$D$1000,MATCH('Product Item'!F93,'Category Item'!$E$6:$E$1000,0),0)&amp; "-"&amp; $C93),"Data Belum Lengkap")</f>
        <v/>
      </c>
      <c r="H93" s="4" t="str">
        <f t="shared" si="4"/>
        <v/>
      </c>
    </row>
    <row r="94" spans="3:8">
      <c r="C94" t="str">
        <f t="shared" si="3"/>
        <v/>
      </c>
      <c r="D94" t="str">
        <f>IFERROR(IF(AND(E94="",F94="",C94=""),"",INDEX('Brand Name'!$D$6:$D$1000,MATCH('Product Item'!E94,'Brand Name'!$E$6:$E$1000,0),0)&amp; "-"&amp; INDEX('Category Item'!$D$6:$D$1000,MATCH('Product Item'!F94,'Category Item'!$E$6:$E$1000,0),0)&amp; "-"&amp; $C94),"Data Belum Lengkap")</f>
        <v/>
      </c>
      <c r="H94" s="4" t="str">
        <f t="shared" si="4"/>
        <v/>
      </c>
    </row>
    <row r="95" spans="3:8">
      <c r="C95" t="str">
        <f t="shared" si="3"/>
        <v/>
      </c>
      <c r="D95" t="str">
        <f>IFERROR(IF(AND(E95="",F95="",C95=""),"",INDEX('Brand Name'!$D$6:$D$1000,MATCH('Product Item'!E95,'Brand Name'!$E$6:$E$1000,0),0)&amp; "-"&amp; INDEX('Category Item'!$D$6:$D$1000,MATCH('Product Item'!F95,'Category Item'!$E$6:$E$1000,0),0)&amp; "-"&amp; $C95),"Data Belum Lengkap")</f>
        <v/>
      </c>
      <c r="H95" s="4" t="str">
        <f t="shared" si="4"/>
        <v/>
      </c>
    </row>
    <row r="96" spans="3:8">
      <c r="C96" t="str">
        <f t="shared" si="3"/>
        <v/>
      </c>
      <c r="D96" t="str">
        <f>IFERROR(IF(AND(E96="",F96="",C96=""),"",INDEX('Brand Name'!$D$6:$D$1000,MATCH('Product Item'!E96,'Brand Name'!$E$6:$E$1000,0),0)&amp; "-"&amp; INDEX('Category Item'!$D$6:$D$1000,MATCH('Product Item'!F96,'Category Item'!$E$6:$E$1000,0),0)&amp; "-"&amp; $C96),"Data Belum Lengkap")</f>
        <v/>
      </c>
      <c r="H96" s="4" t="str">
        <f t="shared" si="4"/>
        <v/>
      </c>
    </row>
    <row r="97" spans="3:8">
      <c r="C97" t="str">
        <f t="shared" si="3"/>
        <v/>
      </c>
      <c r="D97" t="str">
        <f>IFERROR(IF(AND(E97="",F97="",C97=""),"",INDEX('Brand Name'!$D$6:$D$1000,MATCH('Product Item'!E97,'Brand Name'!$E$6:$E$1000,0),0)&amp; "-"&amp; INDEX('Category Item'!$D$6:$D$1000,MATCH('Product Item'!F97,'Category Item'!$E$6:$E$1000,0),0)&amp; "-"&amp; $C97),"Data Belum Lengkap")</f>
        <v/>
      </c>
      <c r="H97" s="4" t="str">
        <f t="shared" si="4"/>
        <v/>
      </c>
    </row>
    <row r="98" spans="3:8">
      <c r="C98" t="str">
        <f t="shared" si="3"/>
        <v/>
      </c>
      <c r="D98" t="str">
        <f>IFERROR(IF(AND(E98="",F98="",C98=""),"",INDEX('Brand Name'!$D$6:$D$1000,MATCH('Product Item'!E98,'Brand Name'!$E$6:$E$1000,0),0)&amp; "-"&amp; INDEX('Category Item'!$D$6:$D$1000,MATCH('Product Item'!F98,'Category Item'!$E$6:$E$1000,0),0)&amp; "-"&amp; $C98),"Data Belum Lengkap")</f>
        <v/>
      </c>
      <c r="H98" s="4" t="str">
        <f t="shared" si="4"/>
        <v/>
      </c>
    </row>
    <row r="99" spans="3:8">
      <c r="C99" t="str">
        <f t="shared" si="3"/>
        <v/>
      </c>
      <c r="D99" t="str">
        <f>IFERROR(IF(AND(E99="",F99="",C99=""),"",INDEX('Brand Name'!$D$6:$D$1000,MATCH('Product Item'!E99,'Brand Name'!$E$6:$E$1000,0),0)&amp; "-"&amp; INDEX('Category Item'!$D$6:$D$1000,MATCH('Product Item'!F99,'Category Item'!$E$6:$E$1000,0),0)&amp; "-"&amp; $C99),"Data Belum Lengkap")</f>
        <v/>
      </c>
      <c r="H99" s="4" t="str">
        <f t="shared" si="4"/>
        <v/>
      </c>
    </row>
    <row r="100" spans="3:8">
      <c r="C100" t="str">
        <f t="shared" si="3"/>
        <v/>
      </c>
      <c r="D100" t="str">
        <f>IFERROR(IF(AND(E100="",F100="",C100=""),"",INDEX('Brand Name'!$D$6:$D$1000,MATCH('Product Item'!E100,'Brand Name'!$E$6:$E$1000,0),0)&amp; "-"&amp; INDEX('Category Item'!$D$6:$D$1000,MATCH('Product Item'!F100,'Category Item'!$E$6:$E$1000,0),0)&amp; "-"&amp; $C100),"Data Belum Lengkap")</f>
        <v/>
      </c>
      <c r="H100" s="4" t="str">
        <f t="shared" si="4"/>
        <v/>
      </c>
    </row>
    <row r="101" spans="3:8">
      <c r="C101" t="str">
        <f t="shared" si="3"/>
        <v/>
      </c>
      <c r="D101" t="str">
        <f>IFERROR(IF(AND(E101="",F101="",C101=""),"",INDEX('Brand Name'!$D$6:$D$1000,MATCH('Product Item'!E101,'Brand Name'!$E$6:$E$1000,0),0)&amp; "-"&amp; INDEX('Category Item'!$D$6:$D$1000,MATCH('Product Item'!F101,'Category Item'!$E$6:$E$1000,0),0)&amp; "-"&amp; $C101),"Data Belum Lengkap")</f>
        <v/>
      </c>
      <c r="H101" s="4" t="str">
        <f t="shared" si="4"/>
        <v/>
      </c>
    </row>
    <row r="102" spans="3:8">
      <c r="C102" t="str">
        <f t="shared" si="3"/>
        <v/>
      </c>
      <c r="D102" t="str">
        <f>IFERROR(IF(AND(E102="",F102="",C102=""),"",INDEX('Brand Name'!$D$6:$D$1000,MATCH('Product Item'!E102,'Brand Name'!$E$6:$E$1000,0),0)&amp; "-"&amp; INDEX('Category Item'!$D$6:$D$1000,MATCH('Product Item'!F102,'Category Item'!$E$6:$E$1000,0),0)&amp; "-"&amp; $C102),"Data Belum Lengkap")</f>
        <v/>
      </c>
      <c r="H102" s="4" t="str">
        <f t="shared" si="4"/>
        <v/>
      </c>
    </row>
    <row r="103" spans="3:8">
      <c r="C103" t="str">
        <f t="shared" si="3"/>
        <v/>
      </c>
      <c r="D103" t="str">
        <f>IFERROR(IF(AND(E103="",F103="",C103=""),"",INDEX('Brand Name'!$D$6:$D$1000,MATCH('Product Item'!E103,'Brand Name'!$E$6:$E$1000,0),0)&amp; "-"&amp; INDEX('Category Item'!$D$6:$D$1000,MATCH('Product Item'!F103,'Category Item'!$E$6:$E$1000,0),0)&amp; "-"&amp; $C103),"Data Belum Lengkap")</f>
        <v/>
      </c>
      <c r="H103" s="4" t="str">
        <f t="shared" si="4"/>
        <v/>
      </c>
    </row>
    <row r="104" spans="3:8">
      <c r="C104" t="str">
        <f t="shared" si="3"/>
        <v/>
      </c>
      <c r="D104" t="str">
        <f>IFERROR(IF(AND(E104="",F104="",C104=""),"",INDEX('Brand Name'!$D$6:$D$1000,MATCH('Product Item'!E104,'Brand Name'!$E$6:$E$1000,0),0)&amp; "-"&amp; INDEX('Category Item'!$D$6:$D$1000,MATCH('Product Item'!F104,'Category Item'!$E$6:$E$1000,0),0)&amp; "-"&amp; $C104),"Data Belum Lengkap")</f>
        <v/>
      </c>
      <c r="H104" s="4" t="str">
        <f t="shared" si="4"/>
        <v/>
      </c>
    </row>
    <row r="105" spans="3:8">
      <c r="C105" t="str">
        <f t="shared" si="3"/>
        <v/>
      </c>
      <c r="D105" t="str">
        <f>IFERROR(IF(AND(E105="",F105="",C105=""),"",INDEX('Brand Name'!$D$6:$D$1000,MATCH('Product Item'!E105,'Brand Name'!$E$6:$E$1000,0),0)&amp; "-"&amp; INDEX('Category Item'!$D$6:$D$1000,MATCH('Product Item'!F105,'Category Item'!$E$6:$E$1000,0),0)&amp; "-"&amp; $C105),"Data Belum Lengkap")</f>
        <v/>
      </c>
      <c r="H105" s="4" t="str">
        <f t="shared" si="4"/>
        <v/>
      </c>
    </row>
    <row r="106" spans="3:8">
      <c r="C106" t="str">
        <f t="shared" si="3"/>
        <v/>
      </c>
      <c r="D106" t="str">
        <f>IFERROR(IF(AND(E106="",F106="",C106=""),"",INDEX('Brand Name'!$D$6:$D$1000,MATCH('Product Item'!E106,'Brand Name'!$E$6:$E$1000,0),0)&amp; "-"&amp; INDEX('Category Item'!$D$6:$D$1000,MATCH('Product Item'!F106,'Category Item'!$E$6:$E$1000,0),0)&amp; "-"&amp; $C106),"Data Belum Lengkap")</f>
        <v/>
      </c>
      <c r="H106" s="4" t="str">
        <f t="shared" si="4"/>
        <v/>
      </c>
    </row>
    <row r="107" spans="3:8">
      <c r="C107" t="str">
        <f t="shared" si="3"/>
        <v/>
      </c>
      <c r="D107" t="str">
        <f>IFERROR(IF(AND(E107="",F107="",C107=""),"",INDEX('Brand Name'!$D$6:$D$1000,MATCH('Product Item'!E107,'Brand Name'!$E$6:$E$1000,0),0)&amp; "-"&amp; INDEX('Category Item'!$D$6:$D$1000,MATCH('Product Item'!F107,'Category Item'!$E$6:$E$1000,0),0)&amp; "-"&amp; $C107),"Data Belum Lengkap")</f>
        <v/>
      </c>
      <c r="H107" s="4" t="str">
        <f t="shared" si="4"/>
        <v/>
      </c>
    </row>
    <row r="108" spans="3:8">
      <c r="C108" t="str">
        <f t="shared" si="3"/>
        <v/>
      </c>
      <c r="D108" t="str">
        <f>IFERROR(IF(AND(E108="",F108="",C108=""),"",INDEX('Brand Name'!$D$6:$D$1000,MATCH('Product Item'!E108,'Brand Name'!$E$6:$E$1000,0),0)&amp; "-"&amp; INDEX('Category Item'!$D$6:$D$1000,MATCH('Product Item'!F108,'Category Item'!$E$6:$E$1000,0),0)&amp; "-"&amp; $C108),"Data Belum Lengkap")</f>
        <v/>
      </c>
      <c r="H108" s="4" t="str">
        <f t="shared" si="4"/>
        <v/>
      </c>
    </row>
    <row r="109" spans="3:8">
      <c r="C109" t="str">
        <f t="shared" si="3"/>
        <v/>
      </c>
      <c r="D109" t="str">
        <f>IFERROR(IF(AND(E109="",F109="",C109=""),"",INDEX('Brand Name'!$D$6:$D$1000,MATCH('Product Item'!E109,'Brand Name'!$E$6:$E$1000,0),0)&amp; "-"&amp; INDEX('Category Item'!$D$6:$D$1000,MATCH('Product Item'!F109,'Category Item'!$E$6:$E$1000,0),0)&amp; "-"&amp; $C109),"Data Belum Lengkap")</f>
        <v/>
      </c>
      <c r="H109" s="4" t="str">
        <f t="shared" si="4"/>
        <v/>
      </c>
    </row>
    <row r="110" spans="3:8">
      <c r="C110" t="str">
        <f t="shared" si="3"/>
        <v/>
      </c>
      <c r="D110" t="str">
        <f>IFERROR(IF(AND(E110="",F110="",C110=""),"",INDEX('Brand Name'!$D$6:$D$1000,MATCH('Product Item'!E110,'Brand Name'!$E$6:$E$1000,0),0)&amp; "-"&amp; INDEX('Category Item'!$D$6:$D$1000,MATCH('Product Item'!F110,'Category Item'!$E$6:$E$1000,0),0)&amp; "-"&amp; $C110),"Data Belum Lengkap")</f>
        <v/>
      </c>
      <c r="H110" s="4" t="str">
        <f t="shared" si="4"/>
        <v/>
      </c>
    </row>
    <row r="111" spans="3:8">
      <c r="C111" t="str">
        <f t="shared" si="3"/>
        <v/>
      </c>
      <c r="D111" t="str">
        <f>IFERROR(IF(AND(E111="",F111="",C111=""),"",INDEX('Brand Name'!$D$6:$D$1000,MATCH('Product Item'!E111,'Brand Name'!$E$6:$E$1000,0),0)&amp; "-"&amp; INDEX('Category Item'!$D$6:$D$1000,MATCH('Product Item'!F111,'Category Item'!$E$6:$E$1000,0),0)&amp; "-"&amp; $C111),"Data Belum Lengkap")</f>
        <v/>
      </c>
      <c r="H111" s="4" t="str">
        <f t="shared" si="4"/>
        <v/>
      </c>
    </row>
    <row r="112" spans="3:8">
      <c r="C112" t="str">
        <f t="shared" si="3"/>
        <v/>
      </c>
      <c r="D112" t="str">
        <f>IFERROR(IF(AND(E112="",F112="",C112=""),"",INDEX('Brand Name'!$D$6:$D$1000,MATCH('Product Item'!E112,'Brand Name'!$E$6:$E$1000,0),0)&amp; "-"&amp; INDEX('Category Item'!$D$6:$D$1000,MATCH('Product Item'!F112,'Category Item'!$E$6:$E$1000,0),0)&amp; "-"&amp; $C112),"Data Belum Lengkap")</f>
        <v/>
      </c>
      <c r="H112" s="4" t="str">
        <f t="shared" si="4"/>
        <v/>
      </c>
    </row>
    <row r="113" spans="3:8">
      <c r="C113" t="str">
        <f t="shared" si="3"/>
        <v/>
      </c>
      <c r="D113" t="str">
        <f>IFERROR(IF(AND(E113="",F113="",C113=""),"",INDEX('Brand Name'!$D$6:$D$1000,MATCH('Product Item'!E113,'Brand Name'!$E$6:$E$1000,0),0)&amp; "-"&amp; INDEX('Category Item'!$D$6:$D$1000,MATCH('Product Item'!F113,'Category Item'!$E$6:$E$1000,0),0)&amp; "-"&amp; $C113),"Data Belum Lengkap")</f>
        <v/>
      </c>
      <c r="H113" s="4" t="str">
        <f t="shared" si="4"/>
        <v/>
      </c>
    </row>
    <row r="114" spans="3:8">
      <c r="C114" t="str">
        <f t="shared" si="3"/>
        <v/>
      </c>
      <c r="D114" t="str">
        <f>IFERROR(IF(AND(E114="",F114="",C114=""),"",INDEX('Brand Name'!$D$6:$D$1000,MATCH('Product Item'!E114,'Brand Name'!$E$6:$E$1000,0),0)&amp; "-"&amp; INDEX('Category Item'!$D$6:$D$1000,MATCH('Product Item'!F114,'Category Item'!$E$6:$E$1000,0),0)&amp; "-"&amp; $C114),"Data Belum Lengkap")</f>
        <v/>
      </c>
      <c r="H114" s="4" t="str">
        <f t="shared" si="4"/>
        <v/>
      </c>
    </row>
    <row r="115" spans="3:8">
      <c r="C115" t="str">
        <f t="shared" si="3"/>
        <v/>
      </c>
      <c r="D115" t="str">
        <f>IFERROR(IF(AND(E115="",F115="",C115=""),"",INDEX('Brand Name'!$D$6:$D$1000,MATCH('Product Item'!E115,'Brand Name'!$E$6:$E$1000,0),0)&amp; "-"&amp; INDEX('Category Item'!$D$6:$D$1000,MATCH('Product Item'!F115,'Category Item'!$E$6:$E$1000,0),0)&amp; "-"&amp; $C115),"Data Belum Lengkap")</f>
        <v/>
      </c>
      <c r="H115" s="4" t="str">
        <f t="shared" si="4"/>
        <v/>
      </c>
    </row>
    <row r="116" spans="3:8">
      <c r="C116" t="str">
        <f t="shared" si="3"/>
        <v/>
      </c>
      <c r="D116" t="str">
        <f>IFERROR(IF(AND(E116="",F116="",C116=""),"",INDEX('Brand Name'!$D$6:$D$1000,MATCH('Product Item'!E116,'Brand Name'!$E$6:$E$1000,0),0)&amp; "-"&amp; INDEX('Category Item'!$D$6:$D$1000,MATCH('Product Item'!F116,'Category Item'!$E$6:$E$1000,0),0)&amp; "-"&amp; $C116),"Data Belum Lengkap")</f>
        <v/>
      </c>
      <c r="H116" s="4" t="str">
        <f t="shared" si="4"/>
        <v/>
      </c>
    </row>
    <row r="117" spans="3:8">
      <c r="C117" t="str">
        <f t="shared" si="3"/>
        <v/>
      </c>
      <c r="D117" t="str">
        <f>IFERROR(IF(AND(E117="",F117="",C117=""),"",INDEX('Brand Name'!$D$6:$D$1000,MATCH('Product Item'!E117,'Brand Name'!$E$6:$E$1000,0),0)&amp; "-"&amp; INDEX('Category Item'!$D$6:$D$1000,MATCH('Product Item'!F117,'Category Item'!$E$6:$E$1000,0),0)&amp; "-"&amp; $C117),"Data Belum Lengkap")</f>
        <v/>
      </c>
      <c r="H117" s="4" t="str">
        <f t="shared" si="4"/>
        <v/>
      </c>
    </row>
    <row r="118" spans="3:8">
      <c r="C118" t="str">
        <f t="shared" si="3"/>
        <v/>
      </c>
      <c r="D118" t="str">
        <f>IFERROR(IF(AND(E118="",F118="",C118=""),"",INDEX('Brand Name'!$D$6:$D$1000,MATCH('Product Item'!E118,'Brand Name'!$E$6:$E$1000,0),0)&amp; "-"&amp; INDEX('Category Item'!$D$6:$D$1000,MATCH('Product Item'!F118,'Category Item'!$E$6:$E$1000,0),0)&amp; "-"&amp; $C118),"Data Belum Lengkap")</f>
        <v/>
      </c>
      <c r="H118" s="4" t="str">
        <f t="shared" si="4"/>
        <v/>
      </c>
    </row>
    <row r="119" spans="3:8">
      <c r="C119" t="str">
        <f t="shared" si="3"/>
        <v/>
      </c>
      <c r="D119" t="str">
        <f>IFERROR(IF(AND(E119="",F119="",C119=""),"",INDEX('Brand Name'!$D$6:$D$1000,MATCH('Product Item'!E119,'Brand Name'!$E$6:$E$1000,0),0)&amp; "-"&amp; INDEX('Category Item'!$D$6:$D$1000,MATCH('Product Item'!F119,'Category Item'!$E$6:$E$1000,0),0)&amp; "-"&amp; $C119),"Data Belum Lengkap")</f>
        <v/>
      </c>
      <c r="H119" s="4" t="str">
        <f t="shared" si="4"/>
        <v/>
      </c>
    </row>
    <row r="120" spans="3:8">
      <c r="C120" t="str">
        <f t="shared" si="3"/>
        <v/>
      </c>
      <c r="D120" t="str">
        <f>IFERROR(IF(AND(E120="",F120="",C120=""),"",INDEX('Brand Name'!$D$6:$D$1000,MATCH('Product Item'!E120,'Brand Name'!$E$6:$E$1000,0),0)&amp; "-"&amp; INDEX('Category Item'!$D$6:$D$1000,MATCH('Product Item'!F120,'Category Item'!$E$6:$E$1000,0),0)&amp; "-"&amp; $C120),"Data Belum Lengkap")</f>
        <v/>
      </c>
      <c r="H120" s="4" t="str">
        <f t="shared" si="4"/>
        <v/>
      </c>
    </row>
    <row r="121" spans="3:8">
      <c r="C121" t="str">
        <f t="shared" si="3"/>
        <v/>
      </c>
      <c r="D121" t="str">
        <f>IFERROR(IF(AND(E121="",F121="",C121=""),"",INDEX('Brand Name'!$D$6:$D$1000,MATCH('Product Item'!E121,'Brand Name'!$E$6:$E$1000,0),0)&amp; "-"&amp; INDEX('Category Item'!$D$6:$D$1000,MATCH('Product Item'!F121,'Category Item'!$E$6:$E$1000,0),0)&amp; "-"&amp; $C121),"Data Belum Lengkap")</f>
        <v/>
      </c>
      <c r="H121" s="4" t="str">
        <f t="shared" si="4"/>
        <v/>
      </c>
    </row>
    <row r="122" spans="3:8">
      <c r="C122" t="str">
        <f t="shared" si="3"/>
        <v/>
      </c>
      <c r="D122" t="str">
        <f>IFERROR(IF(AND(E122="",F122="",C122=""),"",INDEX('Brand Name'!$D$6:$D$1000,MATCH('Product Item'!E122,'Brand Name'!$E$6:$E$1000,0),0)&amp; "-"&amp; INDEX('Category Item'!$D$6:$D$1000,MATCH('Product Item'!F122,'Category Item'!$E$6:$E$1000,0),0)&amp; "-"&amp; $C122),"Data Belum Lengkap")</f>
        <v/>
      </c>
      <c r="H122" s="4" t="str">
        <f t="shared" si="4"/>
        <v/>
      </c>
    </row>
    <row r="123" spans="3:8">
      <c r="C123" t="str">
        <f t="shared" si="3"/>
        <v/>
      </c>
      <c r="D123" t="str">
        <f>IFERROR(IF(AND(E123="",F123="",C123=""),"",INDEX('Brand Name'!$D$6:$D$1000,MATCH('Product Item'!E123,'Brand Name'!$E$6:$E$1000,0),0)&amp; "-"&amp; INDEX('Category Item'!$D$6:$D$1000,MATCH('Product Item'!F123,'Category Item'!$E$6:$E$1000,0),0)&amp; "-"&amp; $C123),"Data Belum Lengkap")</f>
        <v/>
      </c>
      <c r="H123" s="4" t="str">
        <f t="shared" si="4"/>
        <v/>
      </c>
    </row>
    <row r="124" spans="3:8">
      <c r="C124" t="str">
        <f t="shared" si="3"/>
        <v/>
      </c>
      <c r="D124" t="str">
        <f>IFERROR(IF(AND(E124="",F124="",C124=""),"",INDEX('Brand Name'!$D$6:$D$1000,MATCH('Product Item'!E124,'Brand Name'!$E$6:$E$1000,0),0)&amp; "-"&amp; INDEX('Category Item'!$D$6:$D$1000,MATCH('Product Item'!F124,'Category Item'!$E$6:$E$1000,0),0)&amp; "-"&amp; $C124),"Data Belum Lengkap")</f>
        <v/>
      </c>
      <c r="H124" s="4" t="str">
        <f t="shared" si="4"/>
        <v/>
      </c>
    </row>
    <row r="125" spans="3:8">
      <c r="C125" t="str">
        <f t="shared" si="3"/>
        <v/>
      </c>
      <c r="D125" t="str">
        <f>IFERROR(IF(AND(E125="",F125="",C125=""),"",INDEX('Brand Name'!$D$6:$D$1000,MATCH('Product Item'!E125,'Brand Name'!$E$6:$E$1000,0),0)&amp; "-"&amp; INDEX('Category Item'!$D$6:$D$1000,MATCH('Product Item'!F125,'Category Item'!$E$6:$E$1000,0),0)&amp; "-"&amp; $C125),"Data Belum Lengkap")</f>
        <v/>
      </c>
      <c r="H125" s="4" t="str">
        <f t="shared" si="4"/>
        <v/>
      </c>
    </row>
    <row r="126" spans="3:8">
      <c r="C126" t="str">
        <f t="shared" si="3"/>
        <v/>
      </c>
      <c r="D126" t="str">
        <f>IFERROR(IF(AND(E126="",F126="",C126=""),"",INDEX('Brand Name'!$D$6:$D$1000,MATCH('Product Item'!E126,'Brand Name'!$E$6:$E$1000,0),0)&amp; "-"&amp; INDEX('Category Item'!$D$6:$D$1000,MATCH('Product Item'!F126,'Category Item'!$E$6:$E$1000,0),0)&amp; "-"&amp; $C126),"Data Belum Lengkap")</f>
        <v/>
      </c>
      <c r="H126" s="4" t="str">
        <f t="shared" si="4"/>
        <v/>
      </c>
    </row>
    <row r="127" spans="3:8">
      <c r="C127" t="str">
        <f t="shared" si="3"/>
        <v/>
      </c>
      <c r="D127" t="str">
        <f>IFERROR(IF(AND(E127="",F127="",C127=""),"",INDEX('Brand Name'!$D$6:$D$1000,MATCH('Product Item'!E127,'Brand Name'!$E$6:$E$1000,0),0)&amp; "-"&amp; INDEX('Category Item'!$D$6:$D$1000,MATCH('Product Item'!F127,'Category Item'!$E$6:$E$1000,0),0)&amp; "-"&amp; $C127),"Data Belum Lengkap")</f>
        <v/>
      </c>
      <c r="H127" s="4" t="str">
        <f t="shared" si="4"/>
        <v/>
      </c>
    </row>
    <row r="128" spans="3:8">
      <c r="C128" t="str">
        <f t="shared" si="3"/>
        <v/>
      </c>
      <c r="D128" t="str">
        <f>IFERROR(IF(AND(E128="",F128="",C128=""),"",INDEX('Brand Name'!$D$6:$D$1000,MATCH('Product Item'!E128,'Brand Name'!$E$6:$E$1000,0),0)&amp; "-"&amp; INDEX('Category Item'!$D$6:$D$1000,MATCH('Product Item'!F128,'Category Item'!$E$6:$E$1000,0),0)&amp; "-"&amp; $C128),"Data Belum Lengkap")</f>
        <v/>
      </c>
      <c r="H128" s="4" t="str">
        <f t="shared" si="4"/>
        <v/>
      </c>
    </row>
    <row r="129" spans="3:8">
      <c r="C129" t="str">
        <f t="shared" si="3"/>
        <v/>
      </c>
      <c r="D129" t="str">
        <f>IFERROR(IF(AND(E129="",F129="",C129=""),"",INDEX('Brand Name'!$D$6:$D$1000,MATCH('Product Item'!E129,'Brand Name'!$E$6:$E$1000,0),0)&amp; "-"&amp; INDEX('Category Item'!$D$6:$D$1000,MATCH('Product Item'!F129,'Category Item'!$E$6:$E$1000,0),0)&amp; "-"&amp; $C129),"Data Belum Lengkap")</f>
        <v/>
      </c>
      <c r="H129" s="4" t="str">
        <f t="shared" si="4"/>
        <v/>
      </c>
    </row>
    <row r="130" spans="3:8">
      <c r="C130" t="str">
        <f t="shared" si="3"/>
        <v/>
      </c>
      <c r="D130" t="str">
        <f>IFERROR(IF(AND(E130="",F130="",C130=""),"",INDEX('Brand Name'!$D$6:$D$1000,MATCH('Product Item'!E130,'Brand Name'!$E$6:$E$1000,0),0)&amp; "-"&amp; INDEX('Category Item'!$D$6:$D$1000,MATCH('Product Item'!F130,'Category Item'!$E$6:$E$1000,0),0)&amp; "-"&amp; $C130),"Data Belum Lengkap")</f>
        <v/>
      </c>
      <c r="H130" s="4" t="str">
        <f t="shared" si="4"/>
        <v/>
      </c>
    </row>
    <row r="131" spans="3:8">
      <c r="C131" t="str">
        <f t="shared" si="3"/>
        <v/>
      </c>
      <c r="D131" t="str">
        <f>IFERROR(IF(AND(E131="",F131="",C131=""),"",INDEX('Brand Name'!$D$6:$D$1000,MATCH('Product Item'!E131,'Brand Name'!$E$6:$E$1000,0),0)&amp; "-"&amp; INDEX('Category Item'!$D$6:$D$1000,MATCH('Product Item'!F131,'Category Item'!$E$6:$E$1000,0),0)&amp; "-"&amp; $C131),"Data Belum Lengkap")</f>
        <v/>
      </c>
      <c r="H131" s="4" t="str">
        <f t="shared" si="4"/>
        <v/>
      </c>
    </row>
    <row r="132" spans="3:8">
      <c r="C132" t="str">
        <f t="shared" si="3"/>
        <v/>
      </c>
      <c r="D132" t="str">
        <f>IFERROR(IF(AND(E132="",F132="",C132=""),"",INDEX('Brand Name'!$D$6:$D$1000,MATCH('Product Item'!E132,'Brand Name'!$E$6:$E$1000,0),0)&amp; "-"&amp; INDEX('Category Item'!$D$6:$D$1000,MATCH('Product Item'!F132,'Category Item'!$E$6:$E$1000,0),0)&amp; "-"&amp; $C132),"Data Belum Lengkap")</f>
        <v/>
      </c>
      <c r="H132" s="4" t="str">
        <f t="shared" si="4"/>
        <v/>
      </c>
    </row>
    <row r="133" spans="3:8">
      <c r="C133" t="str">
        <f t="shared" si="3"/>
        <v/>
      </c>
      <c r="D133" t="str">
        <f>IFERROR(IF(AND(E133="",F133="",C133=""),"",INDEX('Brand Name'!$D$6:$D$1000,MATCH('Product Item'!E133,'Brand Name'!$E$6:$E$1000,0),0)&amp; "-"&amp; INDEX('Category Item'!$D$6:$D$1000,MATCH('Product Item'!F133,'Category Item'!$E$6:$E$1000,0),0)&amp; "-"&amp; $C133),"Data Belum Lengkap")</f>
        <v/>
      </c>
      <c r="H133" s="4" t="str">
        <f t="shared" si="4"/>
        <v/>
      </c>
    </row>
    <row r="134" spans="3:8">
      <c r="C134" t="str">
        <f t="shared" ref="C134:C197" si="5">IF(AND(E134="",F134=""),"",ROW(D129))</f>
        <v/>
      </c>
      <c r="D134" t="str">
        <f>IFERROR(IF(AND(E134="",F134="",C134=""),"",INDEX('Brand Name'!$D$6:$D$1000,MATCH('Product Item'!E134,'Brand Name'!$E$6:$E$1000,0),0)&amp; "-"&amp; INDEX('Category Item'!$D$6:$D$1000,MATCH('Product Item'!F134,'Category Item'!$E$6:$E$1000,0),0)&amp; "-"&amp; $C134),"Data Belum Lengkap")</f>
        <v/>
      </c>
      <c r="H134" s="4" t="str">
        <f t="shared" ref="H134:H197" si="6">IF(D134="","","*"&amp; D134 &amp;"*")</f>
        <v/>
      </c>
    </row>
    <row r="135" spans="3:8">
      <c r="C135" t="str">
        <f t="shared" si="5"/>
        <v/>
      </c>
      <c r="D135" t="str">
        <f>IFERROR(IF(AND(E135="",F135="",C135=""),"",INDEX('Brand Name'!$D$6:$D$1000,MATCH('Product Item'!E135,'Brand Name'!$E$6:$E$1000,0),0)&amp; "-"&amp; INDEX('Category Item'!$D$6:$D$1000,MATCH('Product Item'!F135,'Category Item'!$E$6:$E$1000,0),0)&amp; "-"&amp; $C135),"Data Belum Lengkap")</f>
        <v/>
      </c>
      <c r="H135" s="4" t="str">
        <f t="shared" si="6"/>
        <v/>
      </c>
    </row>
    <row r="136" spans="3:8">
      <c r="C136" t="str">
        <f t="shared" si="5"/>
        <v/>
      </c>
      <c r="D136" t="str">
        <f>IFERROR(IF(AND(E136="",F136="",C136=""),"",INDEX('Brand Name'!$D$6:$D$1000,MATCH('Product Item'!E136,'Brand Name'!$E$6:$E$1000,0),0)&amp; "-"&amp; INDEX('Category Item'!$D$6:$D$1000,MATCH('Product Item'!F136,'Category Item'!$E$6:$E$1000,0),0)&amp; "-"&amp; $C136),"Data Belum Lengkap")</f>
        <v/>
      </c>
      <c r="H136" s="4" t="str">
        <f t="shared" si="6"/>
        <v/>
      </c>
    </row>
    <row r="137" spans="3:8">
      <c r="C137" t="str">
        <f t="shared" si="5"/>
        <v/>
      </c>
      <c r="D137" t="str">
        <f>IFERROR(IF(AND(E137="",F137="",C137=""),"",INDEX('Brand Name'!$D$6:$D$1000,MATCH('Product Item'!E137,'Brand Name'!$E$6:$E$1000,0),0)&amp; "-"&amp; INDEX('Category Item'!$D$6:$D$1000,MATCH('Product Item'!F137,'Category Item'!$E$6:$E$1000,0),0)&amp; "-"&amp; $C137),"Data Belum Lengkap")</f>
        <v/>
      </c>
      <c r="H137" s="4" t="str">
        <f t="shared" si="6"/>
        <v/>
      </c>
    </row>
    <row r="138" spans="3:8">
      <c r="C138" t="str">
        <f t="shared" si="5"/>
        <v/>
      </c>
      <c r="D138" t="str">
        <f>IFERROR(IF(AND(E138="",F138="",C138=""),"",INDEX('Brand Name'!$D$6:$D$1000,MATCH('Product Item'!E138,'Brand Name'!$E$6:$E$1000,0),0)&amp; "-"&amp; INDEX('Category Item'!$D$6:$D$1000,MATCH('Product Item'!F138,'Category Item'!$E$6:$E$1000,0),0)&amp; "-"&amp; $C138),"Data Belum Lengkap")</f>
        <v/>
      </c>
      <c r="H138" s="4" t="str">
        <f t="shared" si="6"/>
        <v/>
      </c>
    </row>
    <row r="139" spans="3:8">
      <c r="C139" t="str">
        <f t="shared" si="5"/>
        <v/>
      </c>
      <c r="D139" t="str">
        <f>IFERROR(IF(AND(E139="",F139="",C139=""),"",INDEX('Brand Name'!$D$6:$D$1000,MATCH('Product Item'!E139,'Brand Name'!$E$6:$E$1000,0),0)&amp; "-"&amp; INDEX('Category Item'!$D$6:$D$1000,MATCH('Product Item'!F139,'Category Item'!$E$6:$E$1000,0),0)&amp; "-"&amp; $C139),"Data Belum Lengkap")</f>
        <v/>
      </c>
      <c r="H139" s="4" t="str">
        <f t="shared" si="6"/>
        <v/>
      </c>
    </row>
    <row r="140" spans="3:8">
      <c r="C140" t="str">
        <f t="shared" si="5"/>
        <v/>
      </c>
      <c r="D140" t="str">
        <f>IFERROR(IF(AND(E140="",F140="",C140=""),"",INDEX('Brand Name'!$D$6:$D$1000,MATCH('Product Item'!E140,'Brand Name'!$E$6:$E$1000,0),0)&amp; "-"&amp; INDEX('Category Item'!$D$6:$D$1000,MATCH('Product Item'!F140,'Category Item'!$E$6:$E$1000,0),0)&amp; "-"&amp; $C140),"Data Belum Lengkap")</f>
        <v/>
      </c>
      <c r="H140" s="4" t="str">
        <f t="shared" si="6"/>
        <v/>
      </c>
    </row>
    <row r="141" spans="3:8">
      <c r="C141" t="str">
        <f t="shared" si="5"/>
        <v/>
      </c>
      <c r="D141" t="str">
        <f>IFERROR(IF(AND(E141="",F141="",C141=""),"",INDEX('Brand Name'!$D$6:$D$1000,MATCH('Product Item'!E141,'Brand Name'!$E$6:$E$1000,0),0)&amp; "-"&amp; INDEX('Category Item'!$D$6:$D$1000,MATCH('Product Item'!F141,'Category Item'!$E$6:$E$1000,0),0)&amp; "-"&amp; $C141),"Data Belum Lengkap")</f>
        <v/>
      </c>
      <c r="H141" s="4" t="str">
        <f t="shared" si="6"/>
        <v/>
      </c>
    </row>
    <row r="142" spans="3:8">
      <c r="C142" t="str">
        <f t="shared" si="5"/>
        <v/>
      </c>
      <c r="D142" t="str">
        <f>IFERROR(IF(AND(E142="",F142="",C142=""),"",INDEX('Brand Name'!$D$6:$D$1000,MATCH('Product Item'!E142,'Brand Name'!$E$6:$E$1000,0),0)&amp; "-"&amp; INDEX('Category Item'!$D$6:$D$1000,MATCH('Product Item'!F142,'Category Item'!$E$6:$E$1000,0),0)&amp; "-"&amp; $C142),"Data Belum Lengkap")</f>
        <v/>
      </c>
      <c r="H142" s="4" t="str">
        <f t="shared" si="6"/>
        <v/>
      </c>
    </row>
    <row r="143" spans="3:8">
      <c r="C143" t="str">
        <f t="shared" si="5"/>
        <v/>
      </c>
      <c r="D143" t="str">
        <f>IFERROR(IF(AND(E143="",F143="",C143=""),"",INDEX('Brand Name'!$D$6:$D$1000,MATCH('Product Item'!E143,'Brand Name'!$E$6:$E$1000,0),0)&amp; "-"&amp; INDEX('Category Item'!$D$6:$D$1000,MATCH('Product Item'!F143,'Category Item'!$E$6:$E$1000,0),0)&amp; "-"&amp; $C143),"Data Belum Lengkap")</f>
        <v/>
      </c>
      <c r="H143" s="4" t="str">
        <f t="shared" si="6"/>
        <v/>
      </c>
    </row>
    <row r="144" spans="3:8">
      <c r="C144" t="str">
        <f t="shared" si="5"/>
        <v/>
      </c>
      <c r="D144" t="str">
        <f>IFERROR(IF(AND(E144="",F144="",C144=""),"",INDEX('Brand Name'!$D$6:$D$1000,MATCH('Product Item'!E144,'Brand Name'!$E$6:$E$1000,0),0)&amp; "-"&amp; INDEX('Category Item'!$D$6:$D$1000,MATCH('Product Item'!F144,'Category Item'!$E$6:$E$1000,0),0)&amp; "-"&amp; $C144),"Data Belum Lengkap")</f>
        <v/>
      </c>
      <c r="H144" s="4" t="str">
        <f t="shared" si="6"/>
        <v/>
      </c>
    </row>
    <row r="145" spans="3:8">
      <c r="C145" t="str">
        <f t="shared" si="5"/>
        <v/>
      </c>
      <c r="D145" t="str">
        <f>IFERROR(IF(AND(E145="",F145="",C145=""),"",INDEX('Brand Name'!$D$6:$D$1000,MATCH('Product Item'!E145,'Brand Name'!$E$6:$E$1000,0),0)&amp; "-"&amp; INDEX('Category Item'!$D$6:$D$1000,MATCH('Product Item'!F145,'Category Item'!$E$6:$E$1000,0),0)&amp; "-"&amp; $C145),"Data Belum Lengkap")</f>
        <v/>
      </c>
      <c r="H145" s="4" t="str">
        <f t="shared" si="6"/>
        <v/>
      </c>
    </row>
    <row r="146" spans="3:8">
      <c r="C146" t="str">
        <f t="shared" si="5"/>
        <v/>
      </c>
      <c r="D146" t="str">
        <f>IFERROR(IF(AND(E146="",F146="",C146=""),"",INDEX('Brand Name'!$D$6:$D$1000,MATCH('Product Item'!E146,'Brand Name'!$E$6:$E$1000,0),0)&amp; "-"&amp; INDEX('Category Item'!$D$6:$D$1000,MATCH('Product Item'!F146,'Category Item'!$E$6:$E$1000,0),0)&amp; "-"&amp; $C146),"Data Belum Lengkap")</f>
        <v/>
      </c>
      <c r="H146" s="4" t="str">
        <f t="shared" si="6"/>
        <v/>
      </c>
    </row>
    <row r="147" spans="3:8">
      <c r="C147" t="str">
        <f t="shared" si="5"/>
        <v/>
      </c>
      <c r="D147" t="str">
        <f>IFERROR(IF(AND(E147="",F147="",C147=""),"",INDEX('Brand Name'!$D$6:$D$1000,MATCH('Product Item'!E147,'Brand Name'!$E$6:$E$1000,0),0)&amp; "-"&amp; INDEX('Category Item'!$D$6:$D$1000,MATCH('Product Item'!F147,'Category Item'!$E$6:$E$1000,0),0)&amp; "-"&amp; $C147),"Data Belum Lengkap")</f>
        <v/>
      </c>
      <c r="H147" s="4" t="str">
        <f t="shared" si="6"/>
        <v/>
      </c>
    </row>
    <row r="148" spans="3:8">
      <c r="C148" t="str">
        <f t="shared" si="5"/>
        <v/>
      </c>
      <c r="D148" t="str">
        <f>IFERROR(IF(AND(E148="",F148="",C148=""),"",INDEX('Brand Name'!$D$6:$D$1000,MATCH('Product Item'!E148,'Brand Name'!$E$6:$E$1000,0),0)&amp; "-"&amp; INDEX('Category Item'!$D$6:$D$1000,MATCH('Product Item'!F148,'Category Item'!$E$6:$E$1000,0),0)&amp; "-"&amp; $C148),"Data Belum Lengkap")</f>
        <v/>
      </c>
      <c r="H148" s="4" t="str">
        <f t="shared" si="6"/>
        <v/>
      </c>
    </row>
    <row r="149" spans="3:8">
      <c r="C149" t="str">
        <f t="shared" si="5"/>
        <v/>
      </c>
      <c r="D149" t="str">
        <f>IFERROR(IF(AND(E149="",F149="",C149=""),"",INDEX('Brand Name'!$D$6:$D$1000,MATCH('Product Item'!E149,'Brand Name'!$E$6:$E$1000,0),0)&amp; "-"&amp; INDEX('Category Item'!$D$6:$D$1000,MATCH('Product Item'!F149,'Category Item'!$E$6:$E$1000,0),0)&amp; "-"&amp; $C149),"Data Belum Lengkap")</f>
        <v/>
      </c>
      <c r="H149" s="4" t="str">
        <f t="shared" si="6"/>
        <v/>
      </c>
    </row>
    <row r="150" spans="3:8">
      <c r="C150" t="str">
        <f t="shared" si="5"/>
        <v/>
      </c>
      <c r="D150" t="str">
        <f>IFERROR(IF(AND(E150="",F150="",C150=""),"",INDEX('Brand Name'!$D$6:$D$1000,MATCH('Product Item'!E150,'Brand Name'!$E$6:$E$1000,0),0)&amp; "-"&amp; INDEX('Category Item'!$D$6:$D$1000,MATCH('Product Item'!F150,'Category Item'!$E$6:$E$1000,0),0)&amp; "-"&amp; $C150),"Data Belum Lengkap")</f>
        <v/>
      </c>
      <c r="H150" s="4" t="str">
        <f t="shared" si="6"/>
        <v/>
      </c>
    </row>
    <row r="151" spans="3:8">
      <c r="C151" t="str">
        <f t="shared" si="5"/>
        <v/>
      </c>
      <c r="D151" t="str">
        <f>IFERROR(IF(AND(E151="",F151="",C151=""),"",INDEX('Brand Name'!$D$6:$D$1000,MATCH('Product Item'!E151,'Brand Name'!$E$6:$E$1000,0),0)&amp; "-"&amp; INDEX('Category Item'!$D$6:$D$1000,MATCH('Product Item'!F151,'Category Item'!$E$6:$E$1000,0),0)&amp; "-"&amp; $C151),"Data Belum Lengkap")</f>
        <v/>
      </c>
      <c r="H151" s="4" t="str">
        <f t="shared" si="6"/>
        <v/>
      </c>
    </row>
    <row r="152" spans="3:8">
      <c r="C152" t="str">
        <f t="shared" si="5"/>
        <v/>
      </c>
      <c r="D152" t="str">
        <f>IFERROR(IF(AND(E152="",F152="",C152=""),"",INDEX('Brand Name'!$D$6:$D$1000,MATCH('Product Item'!E152,'Brand Name'!$E$6:$E$1000,0),0)&amp; "-"&amp; INDEX('Category Item'!$D$6:$D$1000,MATCH('Product Item'!F152,'Category Item'!$E$6:$E$1000,0),0)&amp; "-"&amp; $C152),"Data Belum Lengkap")</f>
        <v/>
      </c>
      <c r="H152" s="4" t="str">
        <f t="shared" si="6"/>
        <v/>
      </c>
    </row>
    <row r="153" spans="3:8">
      <c r="C153" t="str">
        <f t="shared" si="5"/>
        <v/>
      </c>
      <c r="D153" t="str">
        <f>IFERROR(IF(AND(E153="",F153="",C153=""),"",INDEX('Brand Name'!$D$6:$D$1000,MATCH('Product Item'!E153,'Brand Name'!$E$6:$E$1000,0),0)&amp; "-"&amp; INDEX('Category Item'!$D$6:$D$1000,MATCH('Product Item'!F153,'Category Item'!$E$6:$E$1000,0),0)&amp; "-"&amp; $C153),"Data Belum Lengkap")</f>
        <v/>
      </c>
      <c r="H153" s="4" t="str">
        <f t="shared" si="6"/>
        <v/>
      </c>
    </row>
    <row r="154" spans="3:8">
      <c r="C154" t="str">
        <f t="shared" si="5"/>
        <v/>
      </c>
      <c r="D154" t="str">
        <f>IFERROR(IF(AND(E154="",F154="",C154=""),"",INDEX('Brand Name'!$D$6:$D$1000,MATCH('Product Item'!E154,'Brand Name'!$E$6:$E$1000,0),0)&amp; "-"&amp; INDEX('Category Item'!$D$6:$D$1000,MATCH('Product Item'!F154,'Category Item'!$E$6:$E$1000,0),0)&amp; "-"&amp; $C154),"Data Belum Lengkap")</f>
        <v/>
      </c>
      <c r="H154" s="4" t="str">
        <f t="shared" si="6"/>
        <v/>
      </c>
    </row>
    <row r="155" spans="3:8">
      <c r="C155" t="str">
        <f t="shared" si="5"/>
        <v/>
      </c>
      <c r="D155" t="str">
        <f>IFERROR(IF(AND(E155="",F155="",C155=""),"",INDEX('Brand Name'!$D$6:$D$1000,MATCH('Product Item'!E155,'Brand Name'!$E$6:$E$1000,0),0)&amp; "-"&amp; INDEX('Category Item'!$D$6:$D$1000,MATCH('Product Item'!F155,'Category Item'!$E$6:$E$1000,0),0)&amp; "-"&amp; $C155),"Data Belum Lengkap")</f>
        <v/>
      </c>
      <c r="H155" s="4" t="str">
        <f t="shared" si="6"/>
        <v/>
      </c>
    </row>
    <row r="156" spans="3:8">
      <c r="C156" t="str">
        <f t="shared" si="5"/>
        <v/>
      </c>
      <c r="H156" s="4" t="str">
        <f t="shared" si="6"/>
        <v/>
      </c>
    </row>
    <row r="157" spans="3:8">
      <c r="C157" t="str">
        <f t="shared" si="5"/>
        <v/>
      </c>
      <c r="H157" s="4" t="str">
        <f t="shared" si="6"/>
        <v/>
      </c>
    </row>
    <row r="158" spans="3:8">
      <c r="C158" t="str">
        <f t="shared" si="5"/>
        <v/>
      </c>
      <c r="H158" s="4" t="str">
        <f t="shared" si="6"/>
        <v/>
      </c>
    </row>
    <row r="159" spans="3:8">
      <c r="C159" t="str">
        <f t="shared" si="5"/>
        <v/>
      </c>
      <c r="H159" s="4" t="str">
        <f t="shared" si="6"/>
        <v/>
      </c>
    </row>
    <row r="160" spans="3:8">
      <c r="C160" t="str">
        <f t="shared" si="5"/>
        <v/>
      </c>
      <c r="H160" s="4" t="str">
        <f t="shared" si="6"/>
        <v/>
      </c>
    </row>
    <row r="161" spans="3:8">
      <c r="C161" t="str">
        <f t="shared" si="5"/>
        <v/>
      </c>
      <c r="H161" s="4" t="str">
        <f t="shared" si="6"/>
        <v/>
      </c>
    </row>
    <row r="162" spans="3:8">
      <c r="C162" t="str">
        <f t="shared" si="5"/>
        <v/>
      </c>
      <c r="H162" s="4" t="str">
        <f t="shared" si="6"/>
        <v/>
      </c>
    </row>
    <row r="163" spans="3:8">
      <c r="C163" t="str">
        <f t="shared" si="5"/>
        <v/>
      </c>
      <c r="H163" s="4" t="str">
        <f t="shared" si="6"/>
        <v/>
      </c>
    </row>
    <row r="164" spans="3:8">
      <c r="C164" t="str">
        <f t="shared" si="5"/>
        <v/>
      </c>
      <c r="H164" s="4" t="str">
        <f t="shared" si="6"/>
        <v/>
      </c>
    </row>
    <row r="165" spans="3:8">
      <c r="C165" t="str">
        <f t="shared" si="5"/>
        <v/>
      </c>
      <c r="H165" s="4" t="str">
        <f t="shared" si="6"/>
        <v/>
      </c>
    </row>
    <row r="166" spans="3:8">
      <c r="C166" t="str">
        <f t="shared" si="5"/>
        <v/>
      </c>
      <c r="H166" s="4" t="str">
        <f t="shared" si="6"/>
        <v/>
      </c>
    </row>
    <row r="167" spans="3:8">
      <c r="C167" t="str">
        <f t="shared" si="5"/>
        <v/>
      </c>
      <c r="H167" s="4" t="str">
        <f t="shared" si="6"/>
        <v/>
      </c>
    </row>
    <row r="168" spans="3:8">
      <c r="C168" t="str">
        <f t="shared" si="5"/>
        <v/>
      </c>
      <c r="H168" s="4" t="str">
        <f t="shared" si="6"/>
        <v/>
      </c>
    </row>
    <row r="169" spans="3:8">
      <c r="C169" t="str">
        <f t="shared" si="5"/>
        <v/>
      </c>
      <c r="H169" s="4" t="str">
        <f t="shared" si="6"/>
        <v/>
      </c>
    </row>
    <row r="170" spans="3:8">
      <c r="C170" t="str">
        <f t="shared" si="5"/>
        <v/>
      </c>
      <c r="H170" s="4" t="str">
        <f t="shared" si="6"/>
        <v/>
      </c>
    </row>
    <row r="171" spans="3:8">
      <c r="C171" t="str">
        <f t="shared" si="5"/>
        <v/>
      </c>
      <c r="H171" s="4" t="str">
        <f t="shared" si="6"/>
        <v/>
      </c>
    </row>
    <row r="172" spans="3:8">
      <c r="C172" t="str">
        <f t="shared" si="5"/>
        <v/>
      </c>
      <c r="H172" s="4" t="str">
        <f t="shared" si="6"/>
        <v/>
      </c>
    </row>
    <row r="173" spans="3:8">
      <c r="C173" t="str">
        <f t="shared" si="5"/>
        <v/>
      </c>
      <c r="H173" s="4" t="str">
        <f t="shared" si="6"/>
        <v/>
      </c>
    </row>
    <row r="174" spans="3:8">
      <c r="C174" t="str">
        <f t="shared" si="5"/>
        <v/>
      </c>
      <c r="H174" s="4" t="str">
        <f t="shared" si="6"/>
        <v/>
      </c>
    </row>
    <row r="175" spans="3:8">
      <c r="C175" t="str">
        <f t="shared" si="5"/>
        <v/>
      </c>
      <c r="H175" s="4" t="str">
        <f t="shared" si="6"/>
        <v/>
      </c>
    </row>
    <row r="176" spans="3:8">
      <c r="C176" t="str">
        <f t="shared" si="5"/>
        <v/>
      </c>
      <c r="H176" s="4" t="str">
        <f t="shared" si="6"/>
        <v/>
      </c>
    </row>
    <row r="177" spans="3:8">
      <c r="C177" t="str">
        <f t="shared" si="5"/>
        <v/>
      </c>
      <c r="H177" s="4" t="str">
        <f t="shared" si="6"/>
        <v/>
      </c>
    </row>
    <row r="178" spans="3:8">
      <c r="C178" t="str">
        <f t="shared" si="5"/>
        <v/>
      </c>
      <c r="H178" s="4" t="str">
        <f t="shared" si="6"/>
        <v/>
      </c>
    </row>
    <row r="179" spans="3:8">
      <c r="C179" t="str">
        <f t="shared" si="5"/>
        <v/>
      </c>
      <c r="H179" s="4" t="str">
        <f t="shared" si="6"/>
        <v/>
      </c>
    </row>
    <row r="180" spans="3:8">
      <c r="C180" t="str">
        <f t="shared" si="5"/>
        <v/>
      </c>
      <c r="H180" s="4" t="str">
        <f t="shared" si="6"/>
        <v/>
      </c>
    </row>
    <row r="181" spans="3:8">
      <c r="C181" t="str">
        <f t="shared" si="5"/>
        <v/>
      </c>
      <c r="H181" s="4" t="str">
        <f t="shared" si="6"/>
        <v/>
      </c>
    </row>
    <row r="182" spans="3:8">
      <c r="C182" t="str">
        <f t="shared" si="5"/>
        <v/>
      </c>
      <c r="H182" s="4" t="str">
        <f t="shared" si="6"/>
        <v/>
      </c>
    </row>
    <row r="183" spans="3:8">
      <c r="C183" t="str">
        <f t="shared" si="5"/>
        <v/>
      </c>
      <c r="H183" s="4" t="str">
        <f t="shared" si="6"/>
        <v/>
      </c>
    </row>
    <row r="184" spans="3:8">
      <c r="C184" t="str">
        <f t="shared" si="5"/>
        <v/>
      </c>
      <c r="H184" s="4" t="str">
        <f t="shared" si="6"/>
        <v/>
      </c>
    </row>
    <row r="185" spans="3:8">
      <c r="C185" t="str">
        <f t="shared" si="5"/>
        <v/>
      </c>
      <c r="H185" s="4" t="str">
        <f t="shared" si="6"/>
        <v/>
      </c>
    </row>
    <row r="186" spans="3:8">
      <c r="C186" t="str">
        <f t="shared" si="5"/>
        <v/>
      </c>
      <c r="H186" s="4" t="str">
        <f t="shared" si="6"/>
        <v/>
      </c>
    </row>
    <row r="187" spans="3:8">
      <c r="C187" t="str">
        <f t="shared" si="5"/>
        <v/>
      </c>
      <c r="H187" s="4" t="str">
        <f t="shared" si="6"/>
        <v/>
      </c>
    </row>
    <row r="188" spans="3:8">
      <c r="C188" t="str">
        <f t="shared" si="5"/>
        <v/>
      </c>
      <c r="H188" s="4" t="str">
        <f t="shared" si="6"/>
        <v/>
      </c>
    </row>
    <row r="189" spans="3:8">
      <c r="C189" t="str">
        <f t="shared" si="5"/>
        <v/>
      </c>
      <c r="H189" s="4" t="str">
        <f t="shared" si="6"/>
        <v/>
      </c>
    </row>
    <row r="190" spans="3:8">
      <c r="C190" t="str">
        <f t="shared" si="5"/>
        <v/>
      </c>
      <c r="H190" s="4" t="str">
        <f t="shared" si="6"/>
        <v/>
      </c>
    </row>
    <row r="191" spans="3:8">
      <c r="C191" t="str">
        <f t="shared" si="5"/>
        <v/>
      </c>
      <c r="H191" s="4" t="str">
        <f t="shared" si="6"/>
        <v/>
      </c>
    </row>
    <row r="192" spans="3:8">
      <c r="C192" t="str">
        <f t="shared" si="5"/>
        <v/>
      </c>
      <c r="H192" s="4" t="str">
        <f t="shared" si="6"/>
        <v/>
      </c>
    </row>
    <row r="193" spans="3:8">
      <c r="C193" t="str">
        <f t="shared" si="5"/>
        <v/>
      </c>
      <c r="H193" s="4" t="str">
        <f t="shared" si="6"/>
        <v/>
      </c>
    </row>
    <row r="194" spans="3:8">
      <c r="C194" t="str">
        <f t="shared" si="5"/>
        <v/>
      </c>
      <c r="H194" s="4" t="str">
        <f t="shared" si="6"/>
        <v/>
      </c>
    </row>
    <row r="195" spans="3:8">
      <c r="C195" t="str">
        <f t="shared" si="5"/>
        <v/>
      </c>
      <c r="H195" s="4" t="str">
        <f t="shared" si="6"/>
        <v/>
      </c>
    </row>
    <row r="196" spans="3:8">
      <c r="C196" t="str">
        <f t="shared" si="5"/>
        <v/>
      </c>
      <c r="H196" s="4" t="str">
        <f t="shared" si="6"/>
        <v/>
      </c>
    </row>
    <row r="197" spans="3:8">
      <c r="C197" t="str">
        <f t="shared" si="5"/>
        <v/>
      </c>
      <c r="H197" s="4" t="str">
        <f t="shared" si="6"/>
        <v/>
      </c>
    </row>
    <row r="198" spans="3:8">
      <c r="C198" t="str">
        <f t="shared" ref="C198:C261" si="7">IF(AND(E198="",F198=""),"",ROW(D193))</f>
        <v/>
      </c>
      <c r="H198" s="4" t="str">
        <f t="shared" ref="H198:H261" si="8">IF(D198="","","*"&amp; D198 &amp;"*")</f>
        <v/>
      </c>
    </row>
    <row r="199" spans="3:8">
      <c r="C199" t="str">
        <f t="shared" si="7"/>
        <v/>
      </c>
      <c r="H199" s="4" t="str">
        <f t="shared" si="8"/>
        <v/>
      </c>
    </row>
    <row r="200" spans="3:8">
      <c r="C200" t="str">
        <f t="shared" si="7"/>
        <v/>
      </c>
      <c r="H200" s="4" t="str">
        <f t="shared" si="8"/>
        <v/>
      </c>
    </row>
    <row r="201" spans="3:8">
      <c r="C201" t="str">
        <f t="shared" si="7"/>
        <v/>
      </c>
      <c r="H201" s="4" t="str">
        <f t="shared" si="8"/>
        <v/>
      </c>
    </row>
    <row r="202" spans="3:8">
      <c r="C202" t="str">
        <f t="shared" si="7"/>
        <v/>
      </c>
      <c r="H202" s="4" t="str">
        <f t="shared" si="8"/>
        <v/>
      </c>
    </row>
    <row r="203" spans="3:8">
      <c r="C203" t="str">
        <f t="shared" si="7"/>
        <v/>
      </c>
      <c r="H203" s="4" t="str">
        <f t="shared" si="8"/>
        <v/>
      </c>
    </row>
    <row r="204" spans="3:8">
      <c r="C204" t="str">
        <f t="shared" si="7"/>
        <v/>
      </c>
      <c r="H204" s="4" t="str">
        <f t="shared" si="8"/>
        <v/>
      </c>
    </row>
    <row r="205" spans="3:8">
      <c r="C205" t="str">
        <f t="shared" si="7"/>
        <v/>
      </c>
      <c r="H205" s="4" t="str">
        <f t="shared" si="8"/>
        <v/>
      </c>
    </row>
    <row r="206" spans="3:8">
      <c r="C206" t="str">
        <f t="shared" si="7"/>
        <v/>
      </c>
      <c r="H206" s="4" t="str">
        <f t="shared" si="8"/>
        <v/>
      </c>
    </row>
    <row r="207" spans="3:8">
      <c r="C207" t="str">
        <f t="shared" si="7"/>
        <v/>
      </c>
      <c r="H207" s="4" t="str">
        <f t="shared" si="8"/>
        <v/>
      </c>
    </row>
    <row r="208" spans="3:8">
      <c r="C208" t="str">
        <f t="shared" si="7"/>
        <v/>
      </c>
      <c r="H208" s="4" t="str">
        <f t="shared" si="8"/>
        <v/>
      </c>
    </row>
    <row r="209" spans="3:8">
      <c r="C209" t="str">
        <f t="shared" si="7"/>
        <v/>
      </c>
      <c r="H209" s="4" t="str">
        <f t="shared" si="8"/>
        <v/>
      </c>
    </row>
    <row r="210" spans="3:8">
      <c r="C210" t="str">
        <f t="shared" si="7"/>
        <v/>
      </c>
      <c r="H210" s="4" t="str">
        <f t="shared" si="8"/>
        <v/>
      </c>
    </row>
    <row r="211" spans="3:8">
      <c r="C211" t="str">
        <f t="shared" si="7"/>
        <v/>
      </c>
      <c r="H211" s="4" t="str">
        <f t="shared" si="8"/>
        <v/>
      </c>
    </row>
    <row r="212" spans="3:8">
      <c r="C212" t="str">
        <f t="shared" si="7"/>
        <v/>
      </c>
      <c r="H212" s="4" t="str">
        <f t="shared" si="8"/>
        <v/>
      </c>
    </row>
    <row r="213" spans="3:8">
      <c r="C213" t="str">
        <f t="shared" si="7"/>
        <v/>
      </c>
      <c r="H213" s="4" t="str">
        <f t="shared" si="8"/>
        <v/>
      </c>
    </row>
    <row r="214" spans="3:8">
      <c r="C214" t="str">
        <f t="shared" si="7"/>
        <v/>
      </c>
      <c r="H214" s="4" t="str">
        <f t="shared" si="8"/>
        <v/>
      </c>
    </row>
    <row r="215" spans="3:8">
      <c r="C215" t="str">
        <f t="shared" si="7"/>
        <v/>
      </c>
      <c r="H215" s="4" t="str">
        <f t="shared" si="8"/>
        <v/>
      </c>
    </row>
    <row r="216" spans="3:8">
      <c r="C216" t="str">
        <f t="shared" si="7"/>
        <v/>
      </c>
      <c r="H216" s="4" t="str">
        <f t="shared" si="8"/>
        <v/>
      </c>
    </row>
    <row r="217" spans="3:8">
      <c r="C217" t="str">
        <f t="shared" si="7"/>
        <v/>
      </c>
      <c r="H217" s="4" t="str">
        <f t="shared" si="8"/>
        <v/>
      </c>
    </row>
    <row r="218" spans="3:8">
      <c r="C218" t="str">
        <f t="shared" si="7"/>
        <v/>
      </c>
      <c r="H218" s="4" t="str">
        <f t="shared" si="8"/>
        <v/>
      </c>
    </row>
    <row r="219" spans="3:8">
      <c r="C219" t="str">
        <f t="shared" si="7"/>
        <v/>
      </c>
      <c r="H219" s="4" t="str">
        <f t="shared" si="8"/>
        <v/>
      </c>
    </row>
    <row r="220" spans="3:8">
      <c r="C220" t="str">
        <f t="shared" si="7"/>
        <v/>
      </c>
      <c r="H220" s="4" t="str">
        <f t="shared" si="8"/>
        <v/>
      </c>
    </row>
    <row r="221" spans="3:8">
      <c r="C221" t="str">
        <f t="shared" si="7"/>
        <v/>
      </c>
      <c r="H221" s="4" t="str">
        <f t="shared" si="8"/>
        <v/>
      </c>
    </row>
    <row r="222" spans="3:8">
      <c r="C222" t="str">
        <f t="shared" si="7"/>
        <v/>
      </c>
      <c r="H222" s="4" t="str">
        <f t="shared" si="8"/>
        <v/>
      </c>
    </row>
    <row r="223" spans="3:8">
      <c r="C223" t="str">
        <f t="shared" si="7"/>
        <v/>
      </c>
      <c r="H223" s="4" t="str">
        <f t="shared" si="8"/>
        <v/>
      </c>
    </row>
    <row r="224" spans="3:8">
      <c r="C224" t="str">
        <f t="shared" si="7"/>
        <v/>
      </c>
      <c r="H224" s="4" t="str">
        <f t="shared" si="8"/>
        <v/>
      </c>
    </row>
    <row r="225" spans="3:8">
      <c r="C225" t="str">
        <f t="shared" si="7"/>
        <v/>
      </c>
      <c r="H225" s="4" t="str">
        <f t="shared" si="8"/>
        <v/>
      </c>
    </row>
    <row r="226" spans="3:8">
      <c r="C226" t="str">
        <f t="shared" si="7"/>
        <v/>
      </c>
      <c r="H226" s="4" t="str">
        <f t="shared" si="8"/>
        <v/>
      </c>
    </row>
    <row r="227" spans="3:8">
      <c r="C227" t="str">
        <f t="shared" si="7"/>
        <v/>
      </c>
      <c r="H227" s="4" t="str">
        <f t="shared" si="8"/>
        <v/>
      </c>
    </row>
    <row r="228" spans="3:8">
      <c r="C228" t="str">
        <f t="shared" si="7"/>
        <v/>
      </c>
      <c r="H228" s="4" t="str">
        <f t="shared" si="8"/>
        <v/>
      </c>
    </row>
    <row r="229" spans="3:8">
      <c r="C229" t="str">
        <f t="shared" si="7"/>
        <v/>
      </c>
      <c r="H229" s="4" t="str">
        <f t="shared" si="8"/>
        <v/>
      </c>
    </row>
    <row r="230" spans="3:8">
      <c r="C230" t="str">
        <f t="shared" si="7"/>
        <v/>
      </c>
      <c r="H230" s="4" t="str">
        <f t="shared" si="8"/>
        <v/>
      </c>
    </row>
    <row r="231" spans="3:8">
      <c r="C231" t="str">
        <f t="shared" si="7"/>
        <v/>
      </c>
      <c r="H231" s="4" t="str">
        <f t="shared" si="8"/>
        <v/>
      </c>
    </row>
    <row r="232" spans="3:8">
      <c r="C232" t="str">
        <f t="shared" si="7"/>
        <v/>
      </c>
      <c r="H232" s="4" t="str">
        <f t="shared" si="8"/>
        <v/>
      </c>
    </row>
    <row r="233" spans="3:8">
      <c r="C233" t="str">
        <f t="shared" si="7"/>
        <v/>
      </c>
      <c r="H233" s="4" t="str">
        <f t="shared" si="8"/>
        <v/>
      </c>
    </row>
    <row r="234" spans="3:8">
      <c r="C234" t="str">
        <f t="shared" si="7"/>
        <v/>
      </c>
      <c r="H234" s="4" t="str">
        <f t="shared" si="8"/>
        <v/>
      </c>
    </row>
    <row r="235" spans="3:8">
      <c r="C235" t="str">
        <f t="shared" si="7"/>
        <v/>
      </c>
      <c r="H235" s="4" t="str">
        <f t="shared" si="8"/>
        <v/>
      </c>
    </row>
    <row r="236" spans="3:8">
      <c r="C236" t="str">
        <f t="shared" si="7"/>
        <v/>
      </c>
      <c r="H236" s="4" t="str">
        <f t="shared" si="8"/>
        <v/>
      </c>
    </row>
    <row r="237" spans="3:8">
      <c r="C237" t="str">
        <f t="shared" si="7"/>
        <v/>
      </c>
      <c r="H237" s="4" t="str">
        <f t="shared" si="8"/>
        <v/>
      </c>
    </row>
    <row r="238" spans="3:8">
      <c r="C238" t="str">
        <f t="shared" si="7"/>
        <v/>
      </c>
      <c r="H238" s="4" t="str">
        <f t="shared" si="8"/>
        <v/>
      </c>
    </row>
    <row r="239" spans="3:8">
      <c r="C239" t="str">
        <f t="shared" si="7"/>
        <v/>
      </c>
      <c r="H239" s="4" t="str">
        <f t="shared" si="8"/>
        <v/>
      </c>
    </row>
    <row r="240" spans="3:8">
      <c r="C240" t="str">
        <f t="shared" si="7"/>
        <v/>
      </c>
      <c r="H240" s="4" t="str">
        <f t="shared" si="8"/>
        <v/>
      </c>
    </row>
    <row r="241" spans="3:8">
      <c r="C241" t="str">
        <f t="shared" si="7"/>
        <v/>
      </c>
      <c r="H241" s="4" t="str">
        <f t="shared" si="8"/>
        <v/>
      </c>
    </row>
    <row r="242" spans="3:8">
      <c r="C242" t="str">
        <f t="shared" si="7"/>
        <v/>
      </c>
      <c r="H242" s="4" t="str">
        <f t="shared" si="8"/>
        <v/>
      </c>
    </row>
    <row r="243" spans="3:8">
      <c r="C243" t="str">
        <f t="shared" si="7"/>
        <v/>
      </c>
      <c r="H243" s="4" t="str">
        <f t="shared" si="8"/>
        <v/>
      </c>
    </row>
    <row r="244" spans="3:8">
      <c r="C244" t="str">
        <f t="shared" si="7"/>
        <v/>
      </c>
      <c r="H244" s="4" t="str">
        <f t="shared" si="8"/>
        <v/>
      </c>
    </row>
    <row r="245" spans="3:8">
      <c r="C245" t="str">
        <f t="shared" si="7"/>
        <v/>
      </c>
      <c r="H245" s="4" t="str">
        <f t="shared" si="8"/>
        <v/>
      </c>
    </row>
    <row r="246" spans="3:8">
      <c r="C246" t="str">
        <f t="shared" si="7"/>
        <v/>
      </c>
      <c r="H246" s="4" t="str">
        <f t="shared" si="8"/>
        <v/>
      </c>
    </row>
    <row r="247" spans="3:8">
      <c r="C247" t="str">
        <f t="shared" si="7"/>
        <v/>
      </c>
      <c r="H247" s="4" t="str">
        <f t="shared" si="8"/>
        <v/>
      </c>
    </row>
    <row r="248" spans="3:8">
      <c r="C248" t="str">
        <f t="shared" si="7"/>
        <v/>
      </c>
      <c r="H248" s="4" t="str">
        <f t="shared" si="8"/>
        <v/>
      </c>
    </row>
    <row r="249" spans="3:8">
      <c r="C249" t="str">
        <f t="shared" si="7"/>
        <v/>
      </c>
      <c r="H249" s="4" t="str">
        <f t="shared" si="8"/>
        <v/>
      </c>
    </row>
    <row r="250" spans="3:8">
      <c r="C250" t="str">
        <f t="shared" si="7"/>
        <v/>
      </c>
      <c r="H250" s="4" t="str">
        <f t="shared" si="8"/>
        <v/>
      </c>
    </row>
    <row r="251" spans="3:8">
      <c r="C251" t="str">
        <f t="shared" si="7"/>
        <v/>
      </c>
      <c r="H251" s="4" t="str">
        <f t="shared" si="8"/>
        <v/>
      </c>
    </row>
    <row r="252" spans="3:8">
      <c r="C252" t="str">
        <f t="shared" si="7"/>
        <v/>
      </c>
      <c r="H252" s="4" t="str">
        <f t="shared" si="8"/>
        <v/>
      </c>
    </row>
    <row r="253" spans="3:8">
      <c r="C253" t="str">
        <f t="shared" si="7"/>
        <v/>
      </c>
      <c r="H253" s="4" t="str">
        <f t="shared" si="8"/>
        <v/>
      </c>
    </row>
    <row r="254" spans="3:8">
      <c r="C254" t="str">
        <f t="shared" si="7"/>
        <v/>
      </c>
      <c r="H254" s="4" t="str">
        <f t="shared" si="8"/>
        <v/>
      </c>
    </row>
    <row r="255" spans="3:8">
      <c r="C255" t="str">
        <f t="shared" si="7"/>
        <v/>
      </c>
      <c r="H255" s="4" t="str">
        <f t="shared" si="8"/>
        <v/>
      </c>
    </row>
    <row r="256" spans="3:8">
      <c r="C256" t="str">
        <f t="shared" si="7"/>
        <v/>
      </c>
      <c r="H256" s="4" t="str">
        <f t="shared" si="8"/>
        <v/>
      </c>
    </row>
    <row r="257" spans="3:8">
      <c r="C257" t="str">
        <f t="shared" si="7"/>
        <v/>
      </c>
      <c r="H257" s="4" t="str">
        <f t="shared" si="8"/>
        <v/>
      </c>
    </row>
    <row r="258" spans="3:8">
      <c r="C258" t="str">
        <f t="shared" si="7"/>
        <v/>
      </c>
      <c r="H258" s="4" t="str">
        <f t="shared" si="8"/>
        <v/>
      </c>
    </row>
    <row r="259" spans="3:8">
      <c r="C259" t="str">
        <f t="shared" si="7"/>
        <v/>
      </c>
      <c r="H259" s="4" t="str">
        <f t="shared" si="8"/>
        <v/>
      </c>
    </row>
    <row r="260" spans="3:8">
      <c r="C260" t="str">
        <f t="shared" si="7"/>
        <v/>
      </c>
      <c r="H260" s="4" t="str">
        <f t="shared" si="8"/>
        <v/>
      </c>
    </row>
    <row r="261" spans="3:8">
      <c r="C261" t="str">
        <f t="shared" si="7"/>
        <v/>
      </c>
      <c r="H261" s="4" t="str">
        <f t="shared" si="8"/>
        <v/>
      </c>
    </row>
    <row r="262" spans="3:8">
      <c r="C262" t="str">
        <f t="shared" ref="C262:C325" si="9">IF(AND(E262="",F262=""),"",ROW(D257))</f>
        <v/>
      </c>
      <c r="H262" s="4" t="str">
        <f t="shared" ref="H262:H325" si="10">IF(D262="","","*"&amp; D262 &amp;"*")</f>
        <v/>
      </c>
    </row>
    <row r="263" spans="3:8">
      <c r="C263" t="str">
        <f t="shared" si="9"/>
        <v/>
      </c>
      <c r="H263" s="4" t="str">
        <f t="shared" si="10"/>
        <v/>
      </c>
    </row>
    <row r="264" spans="3:8">
      <c r="C264" t="str">
        <f t="shared" si="9"/>
        <v/>
      </c>
      <c r="H264" s="4" t="str">
        <f t="shared" si="10"/>
        <v/>
      </c>
    </row>
    <row r="265" spans="3:8">
      <c r="C265" t="str">
        <f t="shared" si="9"/>
        <v/>
      </c>
      <c r="H265" s="4" t="str">
        <f t="shared" si="10"/>
        <v/>
      </c>
    </row>
    <row r="266" spans="3:8">
      <c r="C266" t="str">
        <f t="shared" si="9"/>
        <v/>
      </c>
      <c r="H266" s="4" t="str">
        <f t="shared" si="10"/>
        <v/>
      </c>
    </row>
    <row r="267" spans="3:8">
      <c r="C267" t="str">
        <f t="shared" si="9"/>
        <v/>
      </c>
      <c r="H267" s="4" t="str">
        <f t="shared" si="10"/>
        <v/>
      </c>
    </row>
    <row r="268" spans="3:8">
      <c r="C268" t="str">
        <f t="shared" si="9"/>
        <v/>
      </c>
      <c r="H268" s="4" t="str">
        <f t="shared" si="10"/>
        <v/>
      </c>
    </row>
    <row r="269" spans="3:8">
      <c r="C269" t="str">
        <f t="shared" si="9"/>
        <v/>
      </c>
      <c r="H269" s="4" t="str">
        <f t="shared" si="10"/>
        <v/>
      </c>
    </row>
    <row r="270" spans="3:8">
      <c r="C270" t="str">
        <f t="shared" si="9"/>
        <v/>
      </c>
      <c r="H270" s="4" t="str">
        <f t="shared" si="10"/>
        <v/>
      </c>
    </row>
    <row r="271" spans="3:8">
      <c r="C271" t="str">
        <f t="shared" si="9"/>
        <v/>
      </c>
      <c r="H271" s="4" t="str">
        <f t="shared" si="10"/>
        <v/>
      </c>
    </row>
    <row r="272" spans="3:8">
      <c r="C272" t="str">
        <f t="shared" si="9"/>
        <v/>
      </c>
      <c r="H272" s="4" t="str">
        <f t="shared" si="10"/>
        <v/>
      </c>
    </row>
    <row r="273" spans="3:8">
      <c r="C273" t="str">
        <f t="shared" si="9"/>
        <v/>
      </c>
      <c r="H273" s="4" t="str">
        <f t="shared" si="10"/>
        <v/>
      </c>
    </row>
    <row r="274" spans="3:8">
      <c r="C274" t="str">
        <f t="shared" si="9"/>
        <v/>
      </c>
      <c r="H274" s="4" t="str">
        <f t="shared" si="10"/>
        <v/>
      </c>
    </row>
    <row r="275" spans="3:8">
      <c r="C275" t="str">
        <f t="shared" si="9"/>
        <v/>
      </c>
      <c r="H275" s="4" t="str">
        <f t="shared" si="10"/>
        <v/>
      </c>
    </row>
    <row r="276" spans="3:8">
      <c r="C276" t="str">
        <f t="shared" si="9"/>
        <v/>
      </c>
      <c r="H276" s="4" t="str">
        <f t="shared" si="10"/>
        <v/>
      </c>
    </row>
    <row r="277" spans="3:8">
      <c r="C277" t="str">
        <f t="shared" si="9"/>
        <v/>
      </c>
      <c r="H277" s="4" t="str">
        <f t="shared" si="10"/>
        <v/>
      </c>
    </row>
    <row r="278" spans="3:8">
      <c r="C278" t="str">
        <f t="shared" si="9"/>
        <v/>
      </c>
      <c r="H278" s="4" t="str">
        <f t="shared" si="10"/>
        <v/>
      </c>
    </row>
    <row r="279" spans="3:8">
      <c r="C279" t="str">
        <f t="shared" si="9"/>
        <v/>
      </c>
      <c r="H279" s="4" t="str">
        <f t="shared" si="10"/>
        <v/>
      </c>
    </row>
    <row r="280" spans="3:8">
      <c r="C280" t="str">
        <f t="shared" si="9"/>
        <v/>
      </c>
      <c r="H280" s="4" t="str">
        <f t="shared" si="10"/>
        <v/>
      </c>
    </row>
    <row r="281" spans="3:8">
      <c r="C281" t="str">
        <f t="shared" si="9"/>
        <v/>
      </c>
      <c r="H281" s="4" t="str">
        <f t="shared" si="10"/>
        <v/>
      </c>
    </row>
    <row r="282" spans="3:8">
      <c r="C282" t="str">
        <f t="shared" si="9"/>
        <v/>
      </c>
      <c r="H282" s="4" t="str">
        <f t="shared" si="10"/>
        <v/>
      </c>
    </row>
    <row r="283" spans="3:8">
      <c r="C283" t="str">
        <f t="shared" si="9"/>
        <v/>
      </c>
      <c r="H283" s="4" t="str">
        <f t="shared" si="10"/>
        <v/>
      </c>
    </row>
    <row r="284" spans="3:8">
      <c r="C284" t="str">
        <f t="shared" si="9"/>
        <v/>
      </c>
      <c r="H284" s="4" t="str">
        <f t="shared" si="10"/>
        <v/>
      </c>
    </row>
    <row r="285" spans="3:8">
      <c r="C285" t="str">
        <f t="shared" si="9"/>
        <v/>
      </c>
      <c r="H285" s="4" t="str">
        <f t="shared" si="10"/>
        <v/>
      </c>
    </row>
    <row r="286" spans="3:8">
      <c r="C286" t="str">
        <f t="shared" si="9"/>
        <v/>
      </c>
      <c r="H286" s="4" t="str">
        <f t="shared" si="10"/>
        <v/>
      </c>
    </row>
    <row r="287" spans="3:8">
      <c r="C287" t="str">
        <f t="shared" si="9"/>
        <v/>
      </c>
      <c r="H287" s="4" t="str">
        <f t="shared" si="10"/>
        <v/>
      </c>
    </row>
    <row r="288" spans="3:8">
      <c r="C288" t="str">
        <f t="shared" si="9"/>
        <v/>
      </c>
      <c r="H288" s="4" t="str">
        <f t="shared" si="10"/>
        <v/>
      </c>
    </row>
    <row r="289" spans="3:8">
      <c r="C289" t="str">
        <f t="shared" si="9"/>
        <v/>
      </c>
      <c r="H289" s="4" t="str">
        <f t="shared" si="10"/>
        <v/>
      </c>
    </row>
    <row r="290" spans="3:8">
      <c r="C290" t="str">
        <f t="shared" si="9"/>
        <v/>
      </c>
      <c r="H290" s="4" t="str">
        <f t="shared" si="10"/>
        <v/>
      </c>
    </row>
    <row r="291" spans="3:8">
      <c r="C291" t="str">
        <f t="shared" si="9"/>
        <v/>
      </c>
      <c r="H291" s="4" t="str">
        <f t="shared" si="10"/>
        <v/>
      </c>
    </row>
    <row r="292" spans="3:8">
      <c r="C292" t="str">
        <f t="shared" si="9"/>
        <v/>
      </c>
      <c r="H292" s="4" t="str">
        <f t="shared" si="10"/>
        <v/>
      </c>
    </row>
    <row r="293" spans="3:8">
      <c r="C293" t="str">
        <f t="shared" si="9"/>
        <v/>
      </c>
      <c r="H293" s="4" t="str">
        <f t="shared" si="10"/>
        <v/>
      </c>
    </row>
    <row r="294" spans="3:8">
      <c r="C294" t="str">
        <f t="shared" si="9"/>
        <v/>
      </c>
      <c r="H294" s="4" t="str">
        <f t="shared" si="10"/>
        <v/>
      </c>
    </row>
    <row r="295" spans="3:8">
      <c r="C295" t="str">
        <f t="shared" si="9"/>
        <v/>
      </c>
      <c r="H295" s="4" t="str">
        <f t="shared" si="10"/>
        <v/>
      </c>
    </row>
    <row r="296" spans="3:8">
      <c r="C296" t="str">
        <f t="shared" si="9"/>
        <v/>
      </c>
      <c r="H296" s="4" t="str">
        <f t="shared" si="10"/>
        <v/>
      </c>
    </row>
    <row r="297" spans="3:8">
      <c r="C297" t="str">
        <f t="shared" si="9"/>
        <v/>
      </c>
      <c r="H297" s="4" t="str">
        <f t="shared" si="10"/>
        <v/>
      </c>
    </row>
    <row r="298" spans="3:8">
      <c r="C298" t="str">
        <f t="shared" si="9"/>
        <v/>
      </c>
      <c r="H298" s="4" t="str">
        <f t="shared" si="10"/>
        <v/>
      </c>
    </row>
    <row r="299" spans="3:8">
      <c r="C299" t="str">
        <f t="shared" si="9"/>
        <v/>
      </c>
      <c r="H299" s="4" t="str">
        <f t="shared" si="10"/>
        <v/>
      </c>
    </row>
    <row r="300" spans="3:8">
      <c r="C300" t="str">
        <f t="shared" si="9"/>
        <v/>
      </c>
      <c r="H300" s="4" t="str">
        <f t="shared" si="10"/>
        <v/>
      </c>
    </row>
    <row r="301" spans="3:8">
      <c r="C301" t="str">
        <f t="shared" si="9"/>
        <v/>
      </c>
      <c r="H301" s="4" t="str">
        <f t="shared" si="10"/>
        <v/>
      </c>
    </row>
    <row r="302" spans="3:8">
      <c r="C302" t="str">
        <f t="shared" si="9"/>
        <v/>
      </c>
      <c r="H302" s="4" t="str">
        <f t="shared" si="10"/>
        <v/>
      </c>
    </row>
    <row r="303" spans="3:8">
      <c r="C303" t="str">
        <f t="shared" si="9"/>
        <v/>
      </c>
      <c r="H303" s="4" t="str">
        <f t="shared" si="10"/>
        <v/>
      </c>
    </row>
    <row r="304" spans="3:8">
      <c r="C304" t="str">
        <f t="shared" si="9"/>
        <v/>
      </c>
      <c r="H304" s="4" t="str">
        <f t="shared" si="10"/>
        <v/>
      </c>
    </row>
    <row r="305" spans="3:8">
      <c r="C305" t="str">
        <f t="shared" si="9"/>
        <v/>
      </c>
      <c r="H305" s="4" t="str">
        <f t="shared" si="10"/>
        <v/>
      </c>
    </row>
    <row r="306" spans="3:8">
      <c r="C306" t="str">
        <f t="shared" si="9"/>
        <v/>
      </c>
      <c r="H306" s="4" t="str">
        <f t="shared" si="10"/>
        <v/>
      </c>
    </row>
    <row r="307" spans="3:8">
      <c r="C307" t="str">
        <f t="shared" si="9"/>
        <v/>
      </c>
      <c r="H307" s="4" t="str">
        <f t="shared" si="10"/>
        <v/>
      </c>
    </row>
    <row r="308" spans="3:8">
      <c r="C308" t="str">
        <f t="shared" si="9"/>
        <v/>
      </c>
      <c r="H308" s="4" t="str">
        <f t="shared" si="10"/>
        <v/>
      </c>
    </row>
    <row r="309" spans="3:8">
      <c r="C309" t="str">
        <f t="shared" si="9"/>
        <v/>
      </c>
      <c r="H309" s="4" t="str">
        <f t="shared" si="10"/>
        <v/>
      </c>
    </row>
    <row r="310" spans="3:8">
      <c r="C310" t="str">
        <f t="shared" si="9"/>
        <v/>
      </c>
      <c r="H310" s="4" t="str">
        <f t="shared" si="10"/>
        <v/>
      </c>
    </row>
    <row r="311" spans="3:8">
      <c r="C311" t="str">
        <f t="shared" si="9"/>
        <v/>
      </c>
      <c r="H311" s="4" t="str">
        <f t="shared" si="10"/>
        <v/>
      </c>
    </row>
    <row r="312" spans="3:8">
      <c r="C312" t="str">
        <f t="shared" si="9"/>
        <v/>
      </c>
      <c r="H312" s="4" t="str">
        <f t="shared" si="10"/>
        <v/>
      </c>
    </row>
    <row r="313" spans="3:8">
      <c r="C313" t="str">
        <f t="shared" si="9"/>
        <v/>
      </c>
      <c r="H313" s="4" t="str">
        <f t="shared" si="10"/>
        <v/>
      </c>
    </row>
    <row r="314" spans="3:8">
      <c r="C314" t="str">
        <f t="shared" si="9"/>
        <v/>
      </c>
      <c r="H314" s="4" t="str">
        <f t="shared" si="10"/>
        <v/>
      </c>
    </row>
    <row r="315" spans="3:8">
      <c r="C315" t="str">
        <f t="shared" si="9"/>
        <v/>
      </c>
      <c r="H315" s="4" t="str">
        <f t="shared" si="10"/>
        <v/>
      </c>
    </row>
    <row r="316" spans="3:8">
      <c r="C316" t="str">
        <f t="shared" si="9"/>
        <v/>
      </c>
      <c r="H316" s="4" t="str">
        <f t="shared" si="10"/>
        <v/>
      </c>
    </row>
    <row r="317" spans="3:8">
      <c r="C317" t="str">
        <f t="shared" si="9"/>
        <v/>
      </c>
      <c r="H317" s="4" t="str">
        <f t="shared" si="10"/>
        <v/>
      </c>
    </row>
    <row r="318" spans="3:8">
      <c r="C318" t="str">
        <f t="shared" si="9"/>
        <v/>
      </c>
      <c r="H318" s="4" t="str">
        <f t="shared" si="10"/>
        <v/>
      </c>
    </row>
    <row r="319" spans="3:8">
      <c r="C319" t="str">
        <f t="shared" si="9"/>
        <v/>
      </c>
      <c r="H319" s="4" t="str">
        <f t="shared" si="10"/>
        <v/>
      </c>
    </row>
    <row r="320" spans="3:8">
      <c r="C320" t="str">
        <f t="shared" si="9"/>
        <v/>
      </c>
      <c r="H320" s="4" t="str">
        <f t="shared" si="10"/>
        <v/>
      </c>
    </row>
    <row r="321" spans="3:8">
      <c r="C321" t="str">
        <f t="shared" si="9"/>
        <v/>
      </c>
      <c r="H321" s="4" t="str">
        <f t="shared" si="10"/>
        <v/>
      </c>
    </row>
    <row r="322" spans="3:8">
      <c r="C322" t="str">
        <f t="shared" si="9"/>
        <v/>
      </c>
      <c r="H322" s="4" t="str">
        <f t="shared" si="10"/>
        <v/>
      </c>
    </row>
    <row r="323" spans="3:8">
      <c r="C323" t="str">
        <f t="shared" si="9"/>
        <v/>
      </c>
      <c r="H323" s="4" t="str">
        <f t="shared" si="10"/>
        <v/>
      </c>
    </row>
    <row r="324" spans="3:8">
      <c r="C324" t="str">
        <f t="shared" si="9"/>
        <v/>
      </c>
      <c r="H324" s="4" t="str">
        <f t="shared" si="10"/>
        <v/>
      </c>
    </row>
    <row r="325" spans="3:8">
      <c r="C325" t="str">
        <f t="shared" si="9"/>
        <v/>
      </c>
      <c r="H325" s="4" t="str">
        <f t="shared" si="10"/>
        <v/>
      </c>
    </row>
    <row r="326" spans="3:8">
      <c r="C326" t="str">
        <f t="shared" ref="C326:C361" si="11">IF(AND(E326="",F326=""),"",ROW(D321))</f>
        <v/>
      </c>
      <c r="H326" s="4" t="str">
        <f t="shared" ref="H326:H389" si="12">IF(D326="","","*"&amp; D326 &amp;"*")</f>
        <v/>
      </c>
    </row>
    <row r="327" spans="3:8">
      <c r="C327" t="str">
        <f t="shared" si="11"/>
        <v/>
      </c>
      <c r="H327" s="4" t="str">
        <f t="shared" si="12"/>
        <v/>
      </c>
    </row>
    <row r="328" spans="3:8">
      <c r="C328" t="str">
        <f t="shared" si="11"/>
        <v/>
      </c>
      <c r="H328" s="4" t="str">
        <f t="shared" si="12"/>
        <v/>
      </c>
    </row>
    <row r="329" spans="3:8">
      <c r="C329" t="str">
        <f t="shared" si="11"/>
        <v/>
      </c>
      <c r="H329" s="4" t="str">
        <f t="shared" si="12"/>
        <v/>
      </c>
    </row>
    <row r="330" spans="3:8">
      <c r="C330" t="str">
        <f t="shared" si="11"/>
        <v/>
      </c>
      <c r="H330" s="4" t="str">
        <f t="shared" si="12"/>
        <v/>
      </c>
    </row>
    <row r="331" spans="3:8">
      <c r="C331" t="str">
        <f t="shared" si="11"/>
        <v/>
      </c>
      <c r="H331" s="4" t="str">
        <f t="shared" si="12"/>
        <v/>
      </c>
    </row>
    <row r="332" spans="3:8">
      <c r="C332" t="str">
        <f t="shared" si="11"/>
        <v/>
      </c>
      <c r="H332" s="4" t="str">
        <f t="shared" si="12"/>
        <v/>
      </c>
    </row>
    <row r="333" spans="3:8">
      <c r="C333" t="str">
        <f t="shared" si="11"/>
        <v/>
      </c>
      <c r="H333" s="4" t="str">
        <f t="shared" si="12"/>
        <v/>
      </c>
    </row>
    <row r="334" spans="3:8">
      <c r="C334" t="str">
        <f t="shared" si="11"/>
        <v/>
      </c>
      <c r="H334" s="4" t="str">
        <f t="shared" si="12"/>
        <v/>
      </c>
    </row>
    <row r="335" spans="3:8">
      <c r="C335" t="str">
        <f t="shared" si="11"/>
        <v/>
      </c>
      <c r="H335" s="4" t="str">
        <f t="shared" si="12"/>
        <v/>
      </c>
    </row>
    <row r="336" spans="3:8">
      <c r="C336" t="str">
        <f t="shared" si="11"/>
        <v/>
      </c>
      <c r="H336" s="4" t="str">
        <f t="shared" si="12"/>
        <v/>
      </c>
    </row>
    <row r="337" spans="3:8">
      <c r="C337" t="str">
        <f t="shared" si="11"/>
        <v/>
      </c>
      <c r="H337" s="4" t="str">
        <f t="shared" si="12"/>
        <v/>
      </c>
    </row>
    <row r="338" spans="3:8">
      <c r="C338" t="str">
        <f t="shared" si="11"/>
        <v/>
      </c>
      <c r="H338" s="4" t="str">
        <f t="shared" si="12"/>
        <v/>
      </c>
    </row>
    <row r="339" spans="3:8">
      <c r="C339" t="str">
        <f t="shared" si="11"/>
        <v/>
      </c>
      <c r="H339" s="4" t="str">
        <f t="shared" si="12"/>
        <v/>
      </c>
    </row>
    <row r="340" spans="3:8">
      <c r="C340" t="str">
        <f t="shared" si="11"/>
        <v/>
      </c>
      <c r="H340" s="4" t="str">
        <f t="shared" si="12"/>
        <v/>
      </c>
    </row>
    <row r="341" spans="3:8">
      <c r="C341" t="str">
        <f t="shared" si="11"/>
        <v/>
      </c>
      <c r="H341" s="4" t="str">
        <f t="shared" si="12"/>
        <v/>
      </c>
    </row>
    <row r="342" spans="3:8">
      <c r="C342" t="str">
        <f t="shared" si="11"/>
        <v/>
      </c>
      <c r="H342" s="4" t="str">
        <f t="shared" si="12"/>
        <v/>
      </c>
    </row>
    <row r="343" spans="3:8">
      <c r="C343" t="str">
        <f t="shared" si="11"/>
        <v/>
      </c>
      <c r="H343" s="4" t="str">
        <f t="shared" si="12"/>
        <v/>
      </c>
    </row>
    <row r="344" spans="3:8">
      <c r="C344" t="str">
        <f t="shared" si="11"/>
        <v/>
      </c>
      <c r="H344" s="4" t="str">
        <f t="shared" si="12"/>
        <v/>
      </c>
    </row>
    <row r="345" spans="3:8">
      <c r="C345" t="str">
        <f t="shared" si="11"/>
        <v/>
      </c>
      <c r="H345" s="4" t="str">
        <f t="shared" si="12"/>
        <v/>
      </c>
    </row>
    <row r="346" spans="3:8">
      <c r="C346" t="str">
        <f t="shared" si="11"/>
        <v/>
      </c>
      <c r="H346" s="4" t="str">
        <f t="shared" si="12"/>
        <v/>
      </c>
    </row>
    <row r="347" spans="3:8">
      <c r="C347" t="str">
        <f t="shared" si="11"/>
        <v/>
      </c>
      <c r="H347" s="4" t="str">
        <f t="shared" si="12"/>
        <v/>
      </c>
    </row>
    <row r="348" spans="3:8">
      <c r="C348" t="str">
        <f t="shared" si="11"/>
        <v/>
      </c>
      <c r="H348" s="4" t="str">
        <f t="shared" si="12"/>
        <v/>
      </c>
    </row>
    <row r="349" spans="3:8">
      <c r="C349" t="str">
        <f t="shared" si="11"/>
        <v/>
      </c>
      <c r="H349" s="4" t="str">
        <f t="shared" si="12"/>
        <v/>
      </c>
    </row>
    <row r="350" spans="3:8">
      <c r="C350" t="str">
        <f t="shared" si="11"/>
        <v/>
      </c>
      <c r="H350" s="4" t="str">
        <f t="shared" si="12"/>
        <v/>
      </c>
    </row>
    <row r="351" spans="3:8">
      <c r="C351" t="str">
        <f t="shared" si="11"/>
        <v/>
      </c>
      <c r="H351" s="4" t="str">
        <f t="shared" si="12"/>
        <v/>
      </c>
    </row>
    <row r="352" spans="3:8">
      <c r="C352" t="str">
        <f t="shared" si="11"/>
        <v/>
      </c>
      <c r="H352" s="4" t="str">
        <f t="shared" si="12"/>
        <v/>
      </c>
    </row>
    <row r="353" spans="3:8">
      <c r="C353" t="str">
        <f t="shared" si="11"/>
        <v/>
      </c>
      <c r="H353" s="4" t="str">
        <f t="shared" si="12"/>
        <v/>
      </c>
    </row>
    <row r="354" spans="3:8">
      <c r="C354" t="str">
        <f t="shared" si="11"/>
        <v/>
      </c>
      <c r="H354" s="4" t="str">
        <f t="shared" si="12"/>
        <v/>
      </c>
    </row>
    <row r="355" spans="3:8">
      <c r="C355" t="str">
        <f t="shared" si="11"/>
        <v/>
      </c>
      <c r="H355" s="4" t="str">
        <f t="shared" si="12"/>
        <v/>
      </c>
    </row>
    <row r="356" spans="3:8">
      <c r="C356" t="str">
        <f t="shared" si="11"/>
        <v/>
      </c>
      <c r="H356" s="4" t="str">
        <f t="shared" si="12"/>
        <v/>
      </c>
    </row>
    <row r="357" spans="3:8">
      <c r="C357" t="str">
        <f t="shared" si="11"/>
        <v/>
      </c>
      <c r="H357" s="4" t="str">
        <f t="shared" si="12"/>
        <v/>
      </c>
    </row>
    <row r="358" spans="3:8">
      <c r="C358" t="str">
        <f t="shared" si="11"/>
        <v/>
      </c>
      <c r="H358" s="4" t="str">
        <f t="shared" si="12"/>
        <v/>
      </c>
    </row>
    <row r="359" spans="3:8">
      <c r="C359" t="str">
        <f t="shared" si="11"/>
        <v/>
      </c>
      <c r="H359" s="4" t="str">
        <f t="shared" si="12"/>
        <v/>
      </c>
    </row>
    <row r="360" spans="3:8">
      <c r="C360" t="str">
        <f t="shared" si="11"/>
        <v/>
      </c>
      <c r="H360" s="4" t="str">
        <f t="shared" si="12"/>
        <v/>
      </c>
    </row>
    <row r="361" spans="3:8">
      <c r="C361" t="str">
        <f t="shared" si="11"/>
        <v/>
      </c>
      <c r="H361" s="4" t="str">
        <f t="shared" si="12"/>
        <v/>
      </c>
    </row>
    <row r="362" spans="3:8">
      <c r="H362" s="4" t="str">
        <f t="shared" si="12"/>
        <v/>
      </c>
    </row>
    <row r="363" spans="3:8">
      <c r="H363" s="4" t="str">
        <f t="shared" si="12"/>
        <v/>
      </c>
    </row>
    <row r="364" spans="3:8">
      <c r="H364" s="4" t="str">
        <f t="shared" si="12"/>
        <v/>
      </c>
    </row>
    <row r="365" spans="3:8">
      <c r="H365" s="4" t="str">
        <f t="shared" si="12"/>
        <v/>
      </c>
    </row>
    <row r="366" spans="3:8">
      <c r="H366" s="4" t="str">
        <f t="shared" si="12"/>
        <v/>
      </c>
    </row>
    <row r="367" spans="3:8">
      <c r="H367" s="4" t="str">
        <f t="shared" si="12"/>
        <v/>
      </c>
    </row>
    <row r="368" spans="3:8">
      <c r="H368" s="4" t="str">
        <f t="shared" si="12"/>
        <v/>
      </c>
    </row>
    <row r="369" spans="8:8">
      <c r="H369" s="4" t="str">
        <f t="shared" si="12"/>
        <v/>
      </c>
    </row>
    <row r="370" spans="8:8">
      <c r="H370" s="4" t="str">
        <f t="shared" si="12"/>
        <v/>
      </c>
    </row>
    <row r="371" spans="8:8">
      <c r="H371" s="4" t="str">
        <f t="shared" si="12"/>
        <v/>
      </c>
    </row>
    <row r="372" spans="8:8">
      <c r="H372" s="4" t="str">
        <f t="shared" si="12"/>
        <v/>
      </c>
    </row>
    <row r="373" spans="8:8">
      <c r="H373" s="4" t="str">
        <f t="shared" si="12"/>
        <v/>
      </c>
    </row>
    <row r="374" spans="8:8">
      <c r="H374" s="4" t="str">
        <f t="shared" si="12"/>
        <v/>
      </c>
    </row>
    <row r="375" spans="8:8">
      <c r="H375" s="4" t="str">
        <f t="shared" si="12"/>
        <v/>
      </c>
    </row>
    <row r="376" spans="8:8">
      <c r="H376" s="4" t="str">
        <f t="shared" si="12"/>
        <v/>
      </c>
    </row>
    <row r="377" spans="8:8">
      <c r="H377" s="4" t="str">
        <f t="shared" si="12"/>
        <v/>
      </c>
    </row>
    <row r="378" spans="8:8">
      <c r="H378" s="4" t="str">
        <f t="shared" si="12"/>
        <v/>
      </c>
    </row>
    <row r="379" spans="8:8">
      <c r="H379" s="4" t="str">
        <f t="shared" si="12"/>
        <v/>
      </c>
    </row>
    <row r="380" spans="8:8">
      <c r="H380" s="4" t="str">
        <f t="shared" si="12"/>
        <v/>
      </c>
    </row>
    <row r="381" spans="8:8">
      <c r="H381" s="4" t="str">
        <f t="shared" si="12"/>
        <v/>
      </c>
    </row>
    <row r="382" spans="8:8">
      <c r="H382" s="4" t="str">
        <f t="shared" si="12"/>
        <v/>
      </c>
    </row>
    <row r="383" spans="8:8">
      <c r="H383" s="4" t="str">
        <f t="shared" si="12"/>
        <v/>
      </c>
    </row>
    <row r="384" spans="8:8">
      <c r="H384" s="4" t="str">
        <f t="shared" si="12"/>
        <v/>
      </c>
    </row>
    <row r="385" spans="8:8">
      <c r="H385" s="4" t="str">
        <f t="shared" si="12"/>
        <v/>
      </c>
    </row>
    <row r="386" spans="8:8">
      <c r="H386" s="4" t="str">
        <f t="shared" si="12"/>
        <v/>
      </c>
    </row>
    <row r="387" spans="8:8">
      <c r="H387" s="4" t="str">
        <f t="shared" si="12"/>
        <v/>
      </c>
    </row>
    <row r="388" spans="8:8">
      <c r="H388" s="4" t="str">
        <f t="shared" si="12"/>
        <v/>
      </c>
    </row>
    <row r="389" spans="8:8">
      <c r="H389" s="4" t="str">
        <f t="shared" si="12"/>
        <v/>
      </c>
    </row>
    <row r="390" spans="8:8">
      <c r="H390" s="4" t="str">
        <f t="shared" ref="H390:H453" si="13">IF(D390="","","*"&amp; D390 &amp;"*")</f>
        <v/>
      </c>
    </row>
    <row r="391" spans="8:8">
      <c r="H391" s="4" t="str">
        <f t="shared" si="13"/>
        <v/>
      </c>
    </row>
    <row r="392" spans="8:8">
      <c r="H392" s="4" t="str">
        <f t="shared" si="13"/>
        <v/>
      </c>
    </row>
    <row r="393" spans="8:8">
      <c r="H393" s="4" t="str">
        <f t="shared" si="13"/>
        <v/>
      </c>
    </row>
    <row r="394" spans="8:8">
      <c r="H394" s="4" t="str">
        <f t="shared" si="13"/>
        <v/>
      </c>
    </row>
    <row r="395" spans="8:8">
      <c r="H395" s="4" t="str">
        <f t="shared" si="13"/>
        <v/>
      </c>
    </row>
    <row r="396" spans="8:8">
      <c r="H396" s="4" t="str">
        <f t="shared" si="13"/>
        <v/>
      </c>
    </row>
    <row r="397" spans="8:8">
      <c r="H397" s="4" t="str">
        <f t="shared" si="13"/>
        <v/>
      </c>
    </row>
    <row r="398" spans="8:8">
      <c r="H398" s="4" t="str">
        <f t="shared" si="13"/>
        <v/>
      </c>
    </row>
    <row r="399" spans="8:8">
      <c r="H399" s="4" t="str">
        <f t="shared" si="13"/>
        <v/>
      </c>
    </row>
    <row r="400" spans="8:8">
      <c r="H400" s="4" t="str">
        <f t="shared" si="13"/>
        <v/>
      </c>
    </row>
    <row r="401" spans="8:8">
      <c r="H401" s="4" t="str">
        <f t="shared" si="13"/>
        <v/>
      </c>
    </row>
    <row r="402" spans="8:8">
      <c r="H402" s="4" t="str">
        <f t="shared" si="13"/>
        <v/>
      </c>
    </row>
    <row r="403" spans="8:8">
      <c r="H403" s="4" t="str">
        <f t="shared" si="13"/>
        <v/>
      </c>
    </row>
    <row r="404" spans="8:8">
      <c r="H404" s="4" t="str">
        <f t="shared" si="13"/>
        <v/>
      </c>
    </row>
    <row r="405" spans="8:8">
      <c r="H405" s="4" t="str">
        <f t="shared" si="13"/>
        <v/>
      </c>
    </row>
    <row r="406" spans="8:8">
      <c r="H406" s="4" t="str">
        <f t="shared" si="13"/>
        <v/>
      </c>
    </row>
    <row r="407" spans="8:8">
      <c r="H407" s="4" t="str">
        <f t="shared" si="13"/>
        <v/>
      </c>
    </row>
    <row r="408" spans="8:8">
      <c r="H408" s="4" t="str">
        <f t="shared" si="13"/>
        <v/>
      </c>
    </row>
    <row r="409" spans="8:8">
      <c r="H409" s="4" t="str">
        <f t="shared" si="13"/>
        <v/>
      </c>
    </row>
    <row r="410" spans="8:8">
      <c r="H410" s="4" t="str">
        <f t="shared" si="13"/>
        <v/>
      </c>
    </row>
    <row r="411" spans="8:8">
      <c r="H411" s="4" t="str">
        <f t="shared" si="13"/>
        <v/>
      </c>
    </row>
    <row r="412" spans="8:8">
      <c r="H412" s="4" t="str">
        <f t="shared" si="13"/>
        <v/>
      </c>
    </row>
    <row r="413" spans="8:8">
      <c r="H413" s="4" t="str">
        <f t="shared" si="13"/>
        <v/>
      </c>
    </row>
    <row r="414" spans="8:8">
      <c r="H414" s="4" t="str">
        <f t="shared" si="13"/>
        <v/>
      </c>
    </row>
    <row r="415" spans="8:8">
      <c r="H415" s="4" t="str">
        <f t="shared" si="13"/>
        <v/>
      </c>
    </row>
    <row r="416" spans="8:8">
      <c r="H416" s="4" t="str">
        <f t="shared" si="13"/>
        <v/>
      </c>
    </row>
    <row r="417" spans="8:8">
      <c r="H417" s="4" t="str">
        <f t="shared" si="13"/>
        <v/>
      </c>
    </row>
    <row r="418" spans="8:8">
      <c r="H418" s="4" t="str">
        <f t="shared" si="13"/>
        <v/>
      </c>
    </row>
    <row r="419" spans="8:8">
      <c r="H419" s="4" t="str">
        <f t="shared" si="13"/>
        <v/>
      </c>
    </row>
    <row r="420" spans="8:8">
      <c r="H420" s="4" t="str">
        <f t="shared" si="13"/>
        <v/>
      </c>
    </row>
    <row r="421" spans="8:8">
      <c r="H421" s="4" t="str">
        <f t="shared" si="13"/>
        <v/>
      </c>
    </row>
    <row r="422" spans="8:8">
      <c r="H422" s="4" t="str">
        <f t="shared" si="13"/>
        <v/>
      </c>
    </row>
    <row r="423" spans="8:8">
      <c r="H423" s="4" t="str">
        <f t="shared" si="13"/>
        <v/>
      </c>
    </row>
    <row r="424" spans="8:8">
      <c r="H424" s="4" t="str">
        <f t="shared" si="13"/>
        <v/>
      </c>
    </row>
    <row r="425" spans="8:8">
      <c r="H425" s="4" t="str">
        <f t="shared" si="13"/>
        <v/>
      </c>
    </row>
    <row r="426" spans="8:8">
      <c r="H426" s="4" t="str">
        <f t="shared" si="13"/>
        <v/>
      </c>
    </row>
    <row r="427" spans="8:8">
      <c r="H427" s="4" t="str">
        <f t="shared" si="13"/>
        <v/>
      </c>
    </row>
    <row r="428" spans="8:8">
      <c r="H428" s="4" t="str">
        <f t="shared" si="13"/>
        <v/>
      </c>
    </row>
    <row r="429" spans="8:8">
      <c r="H429" s="4" t="str">
        <f t="shared" si="13"/>
        <v/>
      </c>
    </row>
    <row r="430" spans="8:8">
      <c r="H430" s="4" t="str">
        <f t="shared" si="13"/>
        <v/>
      </c>
    </row>
    <row r="431" spans="8:8">
      <c r="H431" s="4" t="str">
        <f t="shared" si="13"/>
        <v/>
      </c>
    </row>
    <row r="432" spans="8:8">
      <c r="H432" s="4" t="str">
        <f t="shared" si="13"/>
        <v/>
      </c>
    </row>
    <row r="433" spans="8:8">
      <c r="H433" s="4" t="str">
        <f t="shared" si="13"/>
        <v/>
      </c>
    </row>
    <row r="434" spans="8:8">
      <c r="H434" s="4" t="str">
        <f t="shared" si="13"/>
        <v/>
      </c>
    </row>
    <row r="435" spans="8:8">
      <c r="H435" s="4" t="str">
        <f t="shared" si="13"/>
        <v/>
      </c>
    </row>
    <row r="436" spans="8:8">
      <c r="H436" s="4" t="str">
        <f t="shared" si="13"/>
        <v/>
      </c>
    </row>
    <row r="437" spans="8:8">
      <c r="H437" s="4" t="str">
        <f t="shared" si="13"/>
        <v/>
      </c>
    </row>
    <row r="438" spans="8:8">
      <c r="H438" s="4" t="str">
        <f t="shared" si="13"/>
        <v/>
      </c>
    </row>
    <row r="439" spans="8:8">
      <c r="H439" s="4" t="str">
        <f t="shared" si="13"/>
        <v/>
      </c>
    </row>
    <row r="440" spans="8:8">
      <c r="H440" s="4" t="str">
        <f t="shared" si="13"/>
        <v/>
      </c>
    </row>
    <row r="441" spans="8:8">
      <c r="H441" s="4" t="str">
        <f t="shared" si="13"/>
        <v/>
      </c>
    </row>
    <row r="442" spans="8:8">
      <c r="H442" s="4" t="str">
        <f t="shared" si="13"/>
        <v/>
      </c>
    </row>
    <row r="443" spans="8:8">
      <c r="H443" s="4" t="str">
        <f t="shared" si="13"/>
        <v/>
      </c>
    </row>
    <row r="444" spans="8:8">
      <c r="H444" s="4" t="str">
        <f t="shared" si="13"/>
        <v/>
      </c>
    </row>
    <row r="445" spans="8:8">
      <c r="H445" s="4" t="str">
        <f t="shared" si="13"/>
        <v/>
      </c>
    </row>
    <row r="446" spans="8:8">
      <c r="H446" s="4" t="str">
        <f t="shared" si="13"/>
        <v/>
      </c>
    </row>
    <row r="447" spans="8:8">
      <c r="H447" s="4" t="str">
        <f t="shared" si="13"/>
        <v/>
      </c>
    </row>
    <row r="448" spans="8:8">
      <c r="H448" s="4" t="str">
        <f t="shared" si="13"/>
        <v/>
      </c>
    </row>
    <row r="449" spans="8:8">
      <c r="H449" s="4" t="str">
        <f t="shared" si="13"/>
        <v/>
      </c>
    </row>
    <row r="450" spans="8:8">
      <c r="H450" s="4" t="str">
        <f t="shared" si="13"/>
        <v/>
      </c>
    </row>
    <row r="451" spans="8:8">
      <c r="H451" s="4" t="str">
        <f t="shared" si="13"/>
        <v/>
      </c>
    </row>
    <row r="452" spans="8:8">
      <c r="H452" s="4" t="str">
        <f t="shared" si="13"/>
        <v/>
      </c>
    </row>
    <row r="453" spans="8:8">
      <c r="H453" s="4" t="str">
        <f t="shared" si="13"/>
        <v/>
      </c>
    </row>
    <row r="454" spans="8:8">
      <c r="H454" s="4" t="str">
        <f t="shared" ref="H454:H517" si="14">IF(D454="","","*"&amp; D454 &amp;"*")</f>
        <v/>
      </c>
    </row>
    <row r="455" spans="8:8">
      <c r="H455" s="4" t="str">
        <f t="shared" si="14"/>
        <v/>
      </c>
    </row>
    <row r="456" spans="8:8">
      <c r="H456" s="4" t="str">
        <f t="shared" si="14"/>
        <v/>
      </c>
    </row>
    <row r="457" spans="8:8">
      <c r="H457" s="4" t="str">
        <f t="shared" si="14"/>
        <v/>
      </c>
    </row>
    <row r="458" spans="8:8">
      <c r="H458" s="4" t="str">
        <f t="shared" si="14"/>
        <v/>
      </c>
    </row>
    <row r="459" spans="8:8">
      <c r="H459" s="4" t="str">
        <f t="shared" si="14"/>
        <v/>
      </c>
    </row>
    <row r="460" spans="8:8">
      <c r="H460" s="4" t="str">
        <f t="shared" si="14"/>
        <v/>
      </c>
    </row>
    <row r="461" spans="8:8">
      <c r="H461" s="4" t="str">
        <f t="shared" si="14"/>
        <v/>
      </c>
    </row>
    <row r="462" spans="8:8">
      <c r="H462" s="4" t="str">
        <f t="shared" si="14"/>
        <v/>
      </c>
    </row>
    <row r="463" spans="8:8">
      <c r="H463" s="4" t="str">
        <f t="shared" si="14"/>
        <v/>
      </c>
    </row>
    <row r="464" spans="8:8">
      <c r="H464" s="4" t="str">
        <f t="shared" si="14"/>
        <v/>
      </c>
    </row>
    <row r="465" spans="8:8">
      <c r="H465" s="4" t="str">
        <f t="shared" si="14"/>
        <v/>
      </c>
    </row>
    <row r="466" spans="8:8">
      <c r="H466" s="4" t="str">
        <f t="shared" si="14"/>
        <v/>
      </c>
    </row>
    <row r="467" spans="8:8">
      <c r="H467" s="4" t="str">
        <f t="shared" si="14"/>
        <v/>
      </c>
    </row>
    <row r="468" spans="8:8">
      <c r="H468" s="4" t="str">
        <f t="shared" si="14"/>
        <v/>
      </c>
    </row>
    <row r="469" spans="8:8">
      <c r="H469" s="4" t="str">
        <f t="shared" si="14"/>
        <v/>
      </c>
    </row>
    <row r="470" spans="8:8">
      <c r="H470" s="4" t="str">
        <f t="shared" si="14"/>
        <v/>
      </c>
    </row>
    <row r="471" spans="8:8">
      <c r="H471" s="4" t="str">
        <f t="shared" si="14"/>
        <v/>
      </c>
    </row>
    <row r="472" spans="8:8">
      <c r="H472" s="4" t="str">
        <f t="shared" si="14"/>
        <v/>
      </c>
    </row>
    <row r="473" spans="8:8">
      <c r="H473" s="4" t="str">
        <f t="shared" si="14"/>
        <v/>
      </c>
    </row>
    <row r="474" spans="8:8">
      <c r="H474" s="4" t="str">
        <f t="shared" si="14"/>
        <v/>
      </c>
    </row>
    <row r="475" spans="8:8">
      <c r="H475" s="4" t="str">
        <f t="shared" si="14"/>
        <v/>
      </c>
    </row>
    <row r="476" spans="8:8">
      <c r="H476" s="4" t="str">
        <f t="shared" si="14"/>
        <v/>
      </c>
    </row>
    <row r="477" spans="8:8">
      <c r="H477" s="4" t="str">
        <f t="shared" si="14"/>
        <v/>
      </c>
    </row>
    <row r="478" spans="8:8">
      <c r="H478" s="4" t="str">
        <f t="shared" si="14"/>
        <v/>
      </c>
    </row>
    <row r="479" spans="8:8">
      <c r="H479" s="4" t="str">
        <f t="shared" si="14"/>
        <v/>
      </c>
    </row>
    <row r="480" spans="8:8">
      <c r="H480" s="4" t="str">
        <f t="shared" si="14"/>
        <v/>
      </c>
    </row>
    <row r="481" spans="8:8">
      <c r="H481" s="4" t="str">
        <f t="shared" si="14"/>
        <v/>
      </c>
    </row>
    <row r="482" spans="8:8">
      <c r="H482" s="4" t="str">
        <f t="shared" si="14"/>
        <v/>
      </c>
    </row>
    <row r="483" spans="8:8">
      <c r="H483" s="4" t="str">
        <f t="shared" si="14"/>
        <v/>
      </c>
    </row>
    <row r="484" spans="8:8">
      <c r="H484" s="4" t="str">
        <f t="shared" si="14"/>
        <v/>
      </c>
    </row>
    <row r="485" spans="8:8">
      <c r="H485" s="4" t="str">
        <f t="shared" si="14"/>
        <v/>
      </c>
    </row>
    <row r="486" spans="8:8">
      <c r="H486" s="4" t="str">
        <f t="shared" si="14"/>
        <v/>
      </c>
    </row>
    <row r="487" spans="8:8">
      <c r="H487" s="4" t="str">
        <f t="shared" si="14"/>
        <v/>
      </c>
    </row>
    <row r="488" spans="8:8">
      <c r="H488" s="4" t="str">
        <f t="shared" si="14"/>
        <v/>
      </c>
    </row>
    <row r="489" spans="8:8">
      <c r="H489" s="4" t="str">
        <f t="shared" si="14"/>
        <v/>
      </c>
    </row>
    <row r="490" spans="8:8">
      <c r="H490" s="4" t="str">
        <f t="shared" si="14"/>
        <v/>
      </c>
    </row>
    <row r="491" spans="8:8">
      <c r="H491" s="4" t="str">
        <f t="shared" si="14"/>
        <v/>
      </c>
    </row>
    <row r="492" spans="8:8">
      <c r="H492" s="4" t="str">
        <f t="shared" si="14"/>
        <v/>
      </c>
    </row>
    <row r="493" spans="8:8">
      <c r="H493" s="4" t="str">
        <f t="shared" si="14"/>
        <v/>
      </c>
    </row>
    <row r="494" spans="8:8">
      <c r="H494" s="4" t="str">
        <f t="shared" si="14"/>
        <v/>
      </c>
    </row>
    <row r="495" spans="8:8">
      <c r="H495" s="4" t="str">
        <f t="shared" si="14"/>
        <v/>
      </c>
    </row>
    <row r="496" spans="8:8">
      <c r="H496" s="4" t="str">
        <f t="shared" si="14"/>
        <v/>
      </c>
    </row>
    <row r="497" spans="8:8">
      <c r="H497" s="4" t="str">
        <f t="shared" si="14"/>
        <v/>
      </c>
    </row>
    <row r="498" spans="8:8">
      <c r="H498" s="4" t="str">
        <f t="shared" si="14"/>
        <v/>
      </c>
    </row>
    <row r="499" spans="8:8">
      <c r="H499" s="4" t="str">
        <f t="shared" si="14"/>
        <v/>
      </c>
    </row>
    <row r="500" spans="8:8">
      <c r="H500" s="4" t="str">
        <f t="shared" si="14"/>
        <v/>
      </c>
    </row>
    <row r="501" spans="8:8">
      <c r="H501" s="4" t="str">
        <f t="shared" si="14"/>
        <v/>
      </c>
    </row>
    <row r="502" spans="8:8">
      <c r="H502" s="4" t="str">
        <f t="shared" si="14"/>
        <v/>
      </c>
    </row>
    <row r="503" spans="8:8">
      <c r="H503" s="4" t="str">
        <f t="shared" si="14"/>
        <v/>
      </c>
    </row>
    <row r="504" spans="8:8">
      <c r="H504" s="4" t="str">
        <f t="shared" si="14"/>
        <v/>
      </c>
    </row>
    <row r="505" spans="8:8">
      <c r="H505" s="4" t="str">
        <f t="shared" si="14"/>
        <v/>
      </c>
    </row>
    <row r="506" spans="8:8">
      <c r="H506" s="4" t="str">
        <f t="shared" si="14"/>
        <v/>
      </c>
    </row>
    <row r="507" spans="8:8">
      <c r="H507" s="4" t="str">
        <f t="shared" si="14"/>
        <v/>
      </c>
    </row>
    <row r="508" spans="8:8">
      <c r="H508" s="4" t="str">
        <f t="shared" si="14"/>
        <v/>
      </c>
    </row>
    <row r="509" spans="8:8">
      <c r="H509" s="4" t="str">
        <f t="shared" si="14"/>
        <v/>
      </c>
    </row>
    <row r="510" spans="8:8">
      <c r="H510" s="4" t="str">
        <f t="shared" si="14"/>
        <v/>
      </c>
    </row>
    <row r="511" spans="8:8">
      <c r="H511" s="4" t="str">
        <f t="shared" si="14"/>
        <v/>
      </c>
    </row>
    <row r="512" spans="8:8">
      <c r="H512" s="4" t="str">
        <f t="shared" si="14"/>
        <v/>
      </c>
    </row>
    <row r="513" spans="8:8">
      <c r="H513" s="4" t="str">
        <f t="shared" si="14"/>
        <v/>
      </c>
    </row>
    <row r="514" spans="8:8">
      <c r="H514" s="4" t="str">
        <f t="shared" si="14"/>
        <v/>
      </c>
    </row>
    <row r="515" spans="8:8">
      <c r="H515" s="4" t="str">
        <f t="shared" si="14"/>
        <v/>
      </c>
    </row>
    <row r="516" spans="8:8">
      <c r="H516" s="4" t="str">
        <f t="shared" si="14"/>
        <v/>
      </c>
    </row>
    <row r="517" spans="8:8">
      <c r="H517" s="4" t="str">
        <f t="shared" si="14"/>
        <v/>
      </c>
    </row>
    <row r="518" spans="8:8">
      <c r="H518" s="4" t="str">
        <f t="shared" ref="H518:H581" si="15">IF(D518="","","*"&amp; D518 &amp;"*")</f>
        <v/>
      </c>
    </row>
    <row r="519" spans="8:8">
      <c r="H519" s="4" t="str">
        <f t="shared" si="15"/>
        <v/>
      </c>
    </row>
    <row r="520" spans="8:8">
      <c r="H520" s="4" t="str">
        <f t="shared" si="15"/>
        <v/>
      </c>
    </row>
    <row r="521" spans="8:8">
      <c r="H521" s="4" t="str">
        <f t="shared" si="15"/>
        <v/>
      </c>
    </row>
    <row r="522" spans="8:8">
      <c r="H522" s="4" t="str">
        <f t="shared" si="15"/>
        <v/>
      </c>
    </row>
    <row r="523" spans="8:8">
      <c r="H523" s="4" t="str">
        <f t="shared" si="15"/>
        <v/>
      </c>
    </row>
    <row r="524" spans="8:8">
      <c r="H524" s="4" t="str">
        <f t="shared" si="15"/>
        <v/>
      </c>
    </row>
    <row r="525" spans="8:8">
      <c r="H525" s="4" t="str">
        <f t="shared" si="15"/>
        <v/>
      </c>
    </row>
    <row r="526" spans="8:8">
      <c r="H526" s="4" t="str">
        <f t="shared" si="15"/>
        <v/>
      </c>
    </row>
    <row r="527" spans="8:8">
      <c r="H527" s="4" t="str">
        <f t="shared" si="15"/>
        <v/>
      </c>
    </row>
    <row r="528" spans="8:8">
      <c r="H528" s="4" t="str">
        <f t="shared" si="15"/>
        <v/>
      </c>
    </row>
    <row r="529" spans="8:8">
      <c r="H529" s="4" t="str">
        <f t="shared" si="15"/>
        <v/>
      </c>
    </row>
    <row r="530" spans="8:8">
      <c r="H530" s="4" t="str">
        <f t="shared" si="15"/>
        <v/>
      </c>
    </row>
    <row r="531" spans="8:8">
      <c r="H531" s="4" t="str">
        <f t="shared" si="15"/>
        <v/>
      </c>
    </row>
    <row r="532" spans="8:8">
      <c r="H532" s="4" t="str">
        <f t="shared" si="15"/>
        <v/>
      </c>
    </row>
    <row r="533" spans="8:8">
      <c r="H533" s="4" t="str">
        <f t="shared" si="15"/>
        <v/>
      </c>
    </row>
    <row r="534" spans="8:8">
      <c r="H534" s="4" t="str">
        <f t="shared" si="15"/>
        <v/>
      </c>
    </row>
    <row r="535" spans="8:8">
      <c r="H535" s="4" t="str">
        <f t="shared" si="15"/>
        <v/>
      </c>
    </row>
    <row r="536" spans="8:8">
      <c r="H536" s="4" t="str">
        <f t="shared" si="15"/>
        <v/>
      </c>
    </row>
    <row r="537" spans="8:8">
      <c r="H537" s="4" t="str">
        <f t="shared" si="15"/>
        <v/>
      </c>
    </row>
    <row r="538" spans="8:8">
      <c r="H538" s="4" t="str">
        <f t="shared" si="15"/>
        <v/>
      </c>
    </row>
    <row r="539" spans="8:8">
      <c r="H539" s="4" t="str">
        <f t="shared" si="15"/>
        <v/>
      </c>
    </row>
    <row r="540" spans="8:8">
      <c r="H540" s="4" t="str">
        <f t="shared" si="15"/>
        <v/>
      </c>
    </row>
    <row r="541" spans="8:8">
      <c r="H541" s="4" t="str">
        <f t="shared" si="15"/>
        <v/>
      </c>
    </row>
    <row r="542" spans="8:8">
      <c r="H542" s="4" t="str">
        <f t="shared" si="15"/>
        <v/>
      </c>
    </row>
    <row r="543" spans="8:8">
      <c r="H543" s="4" t="str">
        <f t="shared" si="15"/>
        <v/>
      </c>
    </row>
    <row r="544" spans="8:8">
      <c r="H544" s="4" t="str">
        <f t="shared" si="15"/>
        <v/>
      </c>
    </row>
    <row r="545" spans="8:8">
      <c r="H545" s="4" t="str">
        <f t="shared" si="15"/>
        <v/>
      </c>
    </row>
    <row r="546" spans="8:8">
      <c r="H546" s="4" t="str">
        <f t="shared" si="15"/>
        <v/>
      </c>
    </row>
    <row r="547" spans="8:8">
      <c r="H547" s="4" t="str">
        <f t="shared" si="15"/>
        <v/>
      </c>
    </row>
    <row r="548" spans="8:8">
      <c r="H548" s="4" t="str">
        <f t="shared" si="15"/>
        <v/>
      </c>
    </row>
    <row r="549" spans="8:8">
      <c r="H549" s="4" t="str">
        <f t="shared" si="15"/>
        <v/>
      </c>
    </row>
    <row r="550" spans="8:8">
      <c r="H550" s="4" t="str">
        <f t="shared" si="15"/>
        <v/>
      </c>
    </row>
    <row r="551" spans="8:8">
      <c r="H551" s="4" t="str">
        <f t="shared" si="15"/>
        <v/>
      </c>
    </row>
    <row r="552" spans="8:8">
      <c r="H552" s="4" t="str">
        <f t="shared" si="15"/>
        <v/>
      </c>
    </row>
    <row r="553" spans="8:8">
      <c r="H553" s="4" t="str">
        <f t="shared" si="15"/>
        <v/>
      </c>
    </row>
    <row r="554" spans="8:8">
      <c r="H554" s="4" t="str">
        <f t="shared" si="15"/>
        <v/>
      </c>
    </row>
    <row r="555" spans="8:8">
      <c r="H555" s="4" t="str">
        <f t="shared" si="15"/>
        <v/>
      </c>
    </row>
    <row r="556" spans="8:8">
      <c r="H556" s="4" t="str">
        <f t="shared" si="15"/>
        <v/>
      </c>
    </row>
    <row r="557" spans="8:8">
      <c r="H557" s="4" t="str">
        <f t="shared" si="15"/>
        <v/>
      </c>
    </row>
    <row r="558" spans="8:8">
      <c r="H558" s="4" t="str">
        <f t="shared" si="15"/>
        <v/>
      </c>
    </row>
    <row r="559" spans="8:8">
      <c r="H559" s="4" t="str">
        <f t="shared" si="15"/>
        <v/>
      </c>
    </row>
    <row r="560" spans="8:8">
      <c r="H560" s="4" t="str">
        <f t="shared" si="15"/>
        <v/>
      </c>
    </row>
    <row r="561" spans="8:8">
      <c r="H561" s="4" t="str">
        <f t="shared" si="15"/>
        <v/>
      </c>
    </row>
    <row r="562" spans="8:8">
      <c r="H562" s="4" t="str">
        <f t="shared" si="15"/>
        <v/>
      </c>
    </row>
    <row r="563" spans="8:8">
      <c r="H563" s="4" t="str">
        <f t="shared" si="15"/>
        <v/>
      </c>
    </row>
    <row r="564" spans="8:8">
      <c r="H564" s="4" t="str">
        <f t="shared" si="15"/>
        <v/>
      </c>
    </row>
    <row r="565" spans="8:8">
      <c r="H565" s="4" t="str">
        <f t="shared" si="15"/>
        <v/>
      </c>
    </row>
    <row r="566" spans="8:8">
      <c r="H566" s="4" t="str">
        <f t="shared" si="15"/>
        <v/>
      </c>
    </row>
    <row r="567" spans="8:8">
      <c r="H567" s="4" t="str">
        <f t="shared" si="15"/>
        <v/>
      </c>
    </row>
    <row r="568" spans="8:8">
      <c r="H568" s="4" t="str">
        <f t="shared" si="15"/>
        <v/>
      </c>
    </row>
    <row r="569" spans="8:8">
      <c r="H569" s="4" t="str">
        <f t="shared" si="15"/>
        <v/>
      </c>
    </row>
    <row r="570" spans="8:8">
      <c r="H570" s="4" t="str">
        <f t="shared" si="15"/>
        <v/>
      </c>
    </row>
    <row r="571" spans="8:8">
      <c r="H571" s="4" t="str">
        <f t="shared" si="15"/>
        <v/>
      </c>
    </row>
    <row r="572" spans="8:8">
      <c r="H572" s="4" t="str">
        <f t="shared" si="15"/>
        <v/>
      </c>
    </row>
    <row r="573" spans="8:8">
      <c r="H573" s="4" t="str">
        <f t="shared" si="15"/>
        <v/>
      </c>
    </row>
    <row r="574" spans="8:8">
      <c r="H574" s="4" t="str">
        <f t="shared" si="15"/>
        <v/>
      </c>
    </row>
    <row r="575" spans="8:8">
      <c r="H575" s="4" t="str">
        <f t="shared" si="15"/>
        <v/>
      </c>
    </row>
    <row r="576" spans="8:8">
      <c r="H576" s="4" t="str">
        <f t="shared" si="15"/>
        <v/>
      </c>
    </row>
    <row r="577" spans="8:8">
      <c r="H577" s="4" t="str">
        <f t="shared" si="15"/>
        <v/>
      </c>
    </row>
    <row r="578" spans="8:8">
      <c r="H578" s="4" t="str">
        <f t="shared" si="15"/>
        <v/>
      </c>
    </row>
    <row r="579" spans="8:8">
      <c r="H579" s="4" t="str">
        <f t="shared" si="15"/>
        <v/>
      </c>
    </row>
    <row r="580" spans="8:8">
      <c r="H580" s="4" t="str">
        <f t="shared" si="15"/>
        <v/>
      </c>
    </row>
    <row r="581" spans="8:8">
      <c r="H581" s="4" t="str">
        <f t="shared" si="15"/>
        <v/>
      </c>
    </row>
    <row r="582" spans="8:8">
      <c r="H582" s="4" t="str">
        <f t="shared" ref="H582:H645" si="16">IF(D582="","","*"&amp; D582 &amp;"*")</f>
        <v/>
      </c>
    </row>
    <row r="583" spans="8:8">
      <c r="H583" s="4" t="str">
        <f t="shared" si="16"/>
        <v/>
      </c>
    </row>
    <row r="584" spans="8:8">
      <c r="H584" s="4" t="str">
        <f t="shared" si="16"/>
        <v/>
      </c>
    </row>
    <row r="585" spans="8:8">
      <c r="H585" s="4" t="str">
        <f t="shared" si="16"/>
        <v/>
      </c>
    </row>
    <row r="586" spans="8:8">
      <c r="H586" s="4" t="str">
        <f t="shared" si="16"/>
        <v/>
      </c>
    </row>
    <row r="587" spans="8:8">
      <c r="H587" s="4" t="str">
        <f t="shared" si="16"/>
        <v/>
      </c>
    </row>
    <row r="588" spans="8:8">
      <c r="H588" s="4" t="str">
        <f t="shared" si="16"/>
        <v/>
      </c>
    </row>
    <row r="589" spans="8:8">
      <c r="H589" s="4" t="str">
        <f t="shared" si="16"/>
        <v/>
      </c>
    </row>
    <row r="590" spans="8:8">
      <c r="H590" s="4" t="str">
        <f t="shared" si="16"/>
        <v/>
      </c>
    </row>
    <row r="591" spans="8:8">
      <c r="H591" s="4" t="str">
        <f t="shared" si="16"/>
        <v/>
      </c>
    </row>
    <row r="592" spans="8:8">
      <c r="H592" s="4" t="str">
        <f t="shared" si="16"/>
        <v/>
      </c>
    </row>
    <row r="593" spans="8:8">
      <c r="H593" s="4" t="str">
        <f t="shared" si="16"/>
        <v/>
      </c>
    </row>
    <row r="594" spans="8:8">
      <c r="H594" s="4" t="str">
        <f t="shared" si="16"/>
        <v/>
      </c>
    </row>
    <row r="595" spans="8:8">
      <c r="H595" s="4" t="str">
        <f t="shared" si="16"/>
        <v/>
      </c>
    </row>
    <row r="596" spans="8:8">
      <c r="H596" s="4" t="str">
        <f t="shared" si="16"/>
        <v/>
      </c>
    </row>
    <row r="597" spans="8:8">
      <c r="H597" s="4" t="str">
        <f t="shared" si="16"/>
        <v/>
      </c>
    </row>
    <row r="598" spans="8:8">
      <c r="H598" s="4" t="str">
        <f t="shared" si="16"/>
        <v/>
      </c>
    </row>
    <row r="599" spans="8:8">
      <c r="H599" s="4" t="str">
        <f t="shared" si="16"/>
        <v/>
      </c>
    </row>
    <row r="600" spans="8:8">
      <c r="H600" s="4" t="str">
        <f t="shared" si="16"/>
        <v/>
      </c>
    </row>
    <row r="601" spans="8:8">
      <c r="H601" s="4" t="str">
        <f t="shared" si="16"/>
        <v/>
      </c>
    </row>
    <row r="602" spans="8:8">
      <c r="H602" s="4" t="str">
        <f t="shared" si="16"/>
        <v/>
      </c>
    </row>
    <row r="603" spans="8:8">
      <c r="H603" s="4" t="str">
        <f t="shared" si="16"/>
        <v/>
      </c>
    </row>
    <row r="604" spans="8:8">
      <c r="H604" s="4" t="str">
        <f t="shared" si="16"/>
        <v/>
      </c>
    </row>
    <row r="605" spans="8:8">
      <c r="H605" s="4" t="str">
        <f t="shared" si="16"/>
        <v/>
      </c>
    </row>
    <row r="606" spans="8:8">
      <c r="H606" s="4" t="str">
        <f t="shared" si="16"/>
        <v/>
      </c>
    </row>
    <row r="607" spans="8:8">
      <c r="H607" s="4" t="str">
        <f t="shared" si="16"/>
        <v/>
      </c>
    </row>
    <row r="608" spans="8:8">
      <c r="H608" s="4" t="str">
        <f t="shared" si="16"/>
        <v/>
      </c>
    </row>
    <row r="609" spans="8:8">
      <c r="H609" s="4" t="str">
        <f t="shared" si="16"/>
        <v/>
      </c>
    </row>
    <row r="610" spans="8:8">
      <c r="H610" s="4" t="str">
        <f t="shared" si="16"/>
        <v/>
      </c>
    </row>
    <row r="611" spans="8:8">
      <c r="H611" s="4" t="str">
        <f t="shared" si="16"/>
        <v/>
      </c>
    </row>
    <row r="612" spans="8:8">
      <c r="H612" s="4" t="str">
        <f t="shared" si="16"/>
        <v/>
      </c>
    </row>
    <row r="613" spans="8:8">
      <c r="H613" s="4" t="str">
        <f t="shared" si="16"/>
        <v/>
      </c>
    </row>
    <row r="614" spans="8:8">
      <c r="H614" s="4" t="str">
        <f t="shared" si="16"/>
        <v/>
      </c>
    </row>
    <row r="615" spans="8:8">
      <c r="H615" s="4" t="str">
        <f t="shared" si="16"/>
        <v/>
      </c>
    </row>
    <row r="616" spans="8:8">
      <c r="H616" s="4" t="str">
        <f t="shared" si="16"/>
        <v/>
      </c>
    </row>
    <row r="617" spans="8:8">
      <c r="H617" s="4" t="str">
        <f t="shared" si="16"/>
        <v/>
      </c>
    </row>
    <row r="618" spans="8:8">
      <c r="H618" s="4" t="str">
        <f t="shared" si="16"/>
        <v/>
      </c>
    </row>
    <row r="619" spans="8:8">
      <c r="H619" s="4" t="str">
        <f t="shared" si="16"/>
        <v/>
      </c>
    </row>
    <row r="620" spans="8:8">
      <c r="H620" s="4" t="str">
        <f t="shared" si="16"/>
        <v/>
      </c>
    </row>
    <row r="621" spans="8:8">
      <c r="H621" s="4" t="str">
        <f t="shared" si="16"/>
        <v/>
      </c>
    </row>
    <row r="622" spans="8:8">
      <c r="H622" s="4" t="str">
        <f t="shared" si="16"/>
        <v/>
      </c>
    </row>
    <row r="623" spans="8:8">
      <c r="H623" s="4" t="str">
        <f t="shared" si="16"/>
        <v/>
      </c>
    </row>
    <row r="624" spans="8:8">
      <c r="H624" s="4" t="str">
        <f t="shared" si="16"/>
        <v/>
      </c>
    </row>
    <row r="625" spans="8:8">
      <c r="H625" s="4" t="str">
        <f t="shared" si="16"/>
        <v/>
      </c>
    </row>
    <row r="626" spans="8:8">
      <c r="H626" s="4" t="str">
        <f t="shared" si="16"/>
        <v/>
      </c>
    </row>
    <row r="627" spans="8:8">
      <c r="H627" s="4" t="str">
        <f t="shared" si="16"/>
        <v/>
      </c>
    </row>
    <row r="628" spans="8:8">
      <c r="H628" s="4" t="str">
        <f t="shared" si="16"/>
        <v/>
      </c>
    </row>
    <row r="629" spans="8:8">
      <c r="H629" s="4" t="str">
        <f t="shared" si="16"/>
        <v/>
      </c>
    </row>
    <row r="630" spans="8:8">
      <c r="H630" s="4" t="str">
        <f t="shared" si="16"/>
        <v/>
      </c>
    </row>
    <row r="631" spans="8:8">
      <c r="H631" s="4" t="str">
        <f t="shared" si="16"/>
        <v/>
      </c>
    </row>
    <row r="632" spans="8:8">
      <c r="H632" s="4" t="str">
        <f t="shared" si="16"/>
        <v/>
      </c>
    </row>
    <row r="633" spans="8:8">
      <c r="H633" s="4" t="str">
        <f t="shared" si="16"/>
        <v/>
      </c>
    </row>
    <row r="634" spans="8:8">
      <c r="H634" s="4" t="str">
        <f t="shared" si="16"/>
        <v/>
      </c>
    </row>
    <row r="635" spans="8:8">
      <c r="H635" s="4" t="str">
        <f t="shared" si="16"/>
        <v/>
      </c>
    </row>
    <row r="636" spans="8:8">
      <c r="H636" s="4" t="str">
        <f t="shared" si="16"/>
        <v/>
      </c>
    </row>
    <row r="637" spans="8:8">
      <c r="H637" s="4" t="str">
        <f t="shared" si="16"/>
        <v/>
      </c>
    </row>
    <row r="638" spans="8:8">
      <c r="H638" s="4" t="str">
        <f t="shared" si="16"/>
        <v/>
      </c>
    </row>
    <row r="639" spans="8:8">
      <c r="H639" s="4" t="str">
        <f t="shared" si="16"/>
        <v/>
      </c>
    </row>
    <row r="640" spans="8:8">
      <c r="H640" s="4" t="str">
        <f t="shared" si="16"/>
        <v/>
      </c>
    </row>
    <row r="641" spans="8:8">
      <c r="H641" s="4" t="str">
        <f t="shared" si="16"/>
        <v/>
      </c>
    </row>
    <row r="642" spans="8:8">
      <c r="H642" s="4" t="str">
        <f t="shared" si="16"/>
        <v/>
      </c>
    </row>
    <row r="643" spans="8:8">
      <c r="H643" s="4" t="str">
        <f t="shared" si="16"/>
        <v/>
      </c>
    </row>
    <row r="644" spans="8:8">
      <c r="H644" s="4" t="str">
        <f t="shared" si="16"/>
        <v/>
      </c>
    </row>
    <row r="645" spans="8:8">
      <c r="H645" s="4" t="str">
        <f t="shared" si="16"/>
        <v/>
      </c>
    </row>
    <row r="646" spans="8:8">
      <c r="H646" s="4" t="str">
        <f t="shared" ref="H646:H709" si="17">IF(D646="","","*"&amp; D646 &amp;"*")</f>
        <v/>
      </c>
    </row>
    <row r="647" spans="8:8">
      <c r="H647" s="4" t="str">
        <f t="shared" si="17"/>
        <v/>
      </c>
    </row>
    <row r="648" spans="8:8">
      <c r="H648" s="4" t="str">
        <f t="shared" si="17"/>
        <v/>
      </c>
    </row>
    <row r="649" spans="8:8">
      <c r="H649" s="4" t="str">
        <f t="shared" si="17"/>
        <v/>
      </c>
    </row>
    <row r="650" spans="8:8">
      <c r="H650" s="4" t="str">
        <f t="shared" si="17"/>
        <v/>
      </c>
    </row>
    <row r="651" spans="8:8">
      <c r="H651" s="4" t="str">
        <f t="shared" si="17"/>
        <v/>
      </c>
    </row>
    <row r="652" spans="8:8">
      <c r="H652" s="4" t="str">
        <f t="shared" si="17"/>
        <v/>
      </c>
    </row>
    <row r="653" spans="8:8">
      <c r="H653" s="4" t="str">
        <f t="shared" si="17"/>
        <v/>
      </c>
    </row>
    <row r="654" spans="8:8">
      <c r="H654" s="4" t="str">
        <f t="shared" si="17"/>
        <v/>
      </c>
    </row>
    <row r="655" spans="8:8">
      <c r="H655" s="4" t="str">
        <f t="shared" si="17"/>
        <v/>
      </c>
    </row>
    <row r="656" spans="8:8">
      <c r="H656" s="4" t="str">
        <f t="shared" si="17"/>
        <v/>
      </c>
    </row>
    <row r="657" spans="8:8">
      <c r="H657" s="4" t="str">
        <f t="shared" si="17"/>
        <v/>
      </c>
    </row>
    <row r="658" spans="8:8">
      <c r="H658" s="4" t="str">
        <f t="shared" si="17"/>
        <v/>
      </c>
    </row>
    <row r="659" spans="8:8">
      <c r="H659" s="4" t="str">
        <f t="shared" si="17"/>
        <v/>
      </c>
    </row>
    <row r="660" spans="8:8">
      <c r="H660" s="4" t="str">
        <f t="shared" si="17"/>
        <v/>
      </c>
    </row>
    <row r="661" spans="8:8">
      <c r="H661" s="4" t="str">
        <f t="shared" si="17"/>
        <v/>
      </c>
    </row>
    <row r="662" spans="8:8">
      <c r="H662" s="4" t="str">
        <f t="shared" si="17"/>
        <v/>
      </c>
    </row>
    <row r="663" spans="8:8">
      <c r="H663" s="4" t="str">
        <f t="shared" si="17"/>
        <v/>
      </c>
    </row>
    <row r="664" spans="8:8">
      <c r="H664" s="4" t="str">
        <f t="shared" si="17"/>
        <v/>
      </c>
    </row>
    <row r="665" spans="8:8">
      <c r="H665" s="4" t="str">
        <f t="shared" si="17"/>
        <v/>
      </c>
    </row>
    <row r="666" spans="8:8">
      <c r="H666" s="4" t="str">
        <f t="shared" si="17"/>
        <v/>
      </c>
    </row>
    <row r="667" spans="8:8">
      <c r="H667" s="4" t="str">
        <f t="shared" si="17"/>
        <v/>
      </c>
    </row>
    <row r="668" spans="8:8">
      <c r="H668" s="4" t="str">
        <f t="shared" si="17"/>
        <v/>
      </c>
    </row>
    <row r="669" spans="8:8">
      <c r="H669" s="4" t="str">
        <f t="shared" si="17"/>
        <v/>
      </c>
    </row>
    <row r="670" spans="8:8">
      <c r="H670" s="4" t="str">
        <f t="shared" si="17"/>
        <v/>
      </c>
    </row>
    <row r="671" spans="8:8">
      <c r="H671" s="4" t="str">
        <f t="shared" si="17"/>
        <v/>
      </c>
    </row>
    <row r="672" spans="8:8">
      <c r="H672" s="4" t="str">
        <f t="shared" si="17"/>
        <v/>
      </c>
    </row>
    <row r="673" spans="8:8">
      <c r="H673" s="4" t="str">
        <f t="shared" si="17"/>
        <v/>
      </c>
    </row>
    <row r="674" spans="8:8">
      <c r="H674" s="4" t="str">
        <f t="shared" si="17"/>
        <v/>
      </c>
    </row>
    <row r="675" spans="8:8">
      <c r="H675" s="4" t="str">
        <f t="shared" si="17"/>
        <v/>
      </c>
    </row>
    <row r="676" spans="8:8">
      <c r="H676" s="4" t="str">
        <f t="shared" si="17"/>
        <v/>
      </c>
    </row>
    <row r="677" spans="8:8">
      <c r="H677" s="4" t="str">
        <f t="shared" si="17"/>
        <v/>
      </c>
    </row>
    <row r="678" spans="8:8">
      <c r="H678" s="4" t="str">
        <f t="shared" si="17"/>
        <v/>
      </c>
    </row>
    <row r="679" spans="8:8">
      <c r="H679" s="4" t="str">
        <f t="shared" si="17"/>
        <v/>
      </c>
    </row>
    <row r="680" spans="8:8">
      <c r="H680" s="4" t="str">
        <f t="shared" si="17"/>
        <v/>
      </c>
    </row>
    <row r="681" spans="8:8">
      <c r="H681" s="4" t="str">
        <f t="shared" si="17"/>
        <v/>
      </c>
    </row>
    <row r="682" spans="8:8">
      <c r="H682" s="4" t="str">
        <f t="shared" si="17"/>
        <v/>
      </c>
    </row>
    <row r="683" spans="8:8">
      <c r="H683" s="4" t="str">
        <f t="shared" si="17"/>
        <v/>
      </c>
    </row>
    <row r="684" spans="8:8">
      <c r="H684" s="4" t="str">
        <f t="shared" si="17"/>
        <v/>
      </c>
    </row>
    <row r="685" spans="8:8">
      <c r="H685" s="4" t="str">
        <f t="shared" si="17"/>
        <v/>
      </c>
    </row>
    <row r="686" spans="8:8">
      <c r="H686" s="4" t="str">
        <f t="shared" si="17"/>
        <v/>
      </c>
    </row>
    <row r="687" spans="8:8">
      <c r="H687" s="4" t="str">
        <f t="shared" si="17"/>
        <v/>
      </c>
    </row>
    <row r="688" spans="8:8">
      <c r="H688" s="4" t="str">
        <f t="shared" si="17"/>
        <v/>
      </c>
    </row>
    <row r="689" spans="8:8">
      <c r="H689" s="4" t="str">
        <f t="shared" si="17"/>
        <v/>
      </c>
    </row>
    <row r="690" spans="8:8">
      <c r="H690" s="4" t="str">
        <f t="shared" si="17"/>
        <v/>
      </c>
    </row>
    <row r="691" spans="8:8">
      <c r="H691" s="4" t="str">
        <f t="shared" si="17"/>
        <v/>
      </c>
    </row>
    <row r="692" spans="8:8">
      <c r="H692" s="4" t="str">
        <f t="shared" si="17"/>
        <v/>
      </c>
    </row>
    <row r="693" spans="8:8">
      <c r="H693" s="4" t="str">
        <f t="shared" si="17"/>
        <v/>
      </c>
    </row>
    <row r="694" spans="8:8">
      <c r="H694" s="4" t="str">
        <f t="shared" si="17"/>
        <v/>
      </c>
    </row>
    <row r="695" spans="8:8">
      <c r="H695" s="4" t="str">
        <f t="shared" si="17"/>
        <v/>
      </c>
    </row>
    <row r="696" spans="8:8">
      <c r="H696" s="4" t="str">
        <f t="shared" si="17"/>
        <v/>
      </c>
    </row>
    <row r="697" spans="8:8">
      <c r="H697" s="4" t="str">
        <f t="shared" si="17"/>
        <v/>
      </c>
    </row>
    <row r="698" spans="8:8">
      <c r="H698" s="4" t="str">
        <f t="shared" si="17"/>
        <v/>
      </c>
    </row>
    <row r="699" spans="8:8">
      <c r="H699" s="4" t="str">
        <f t="shared" si="17"/>
        <v/>
      </c>
    </row>
    <row r="700" spans="8:8">
      <c r="H700" s="4" t="str">
        <f t="shared" si="17"/>
        <v/>
      </c>
    </row>
    <row r="701" spans="8:8">
      <c r="H701" s="4" t="str">
        <f t="shared" si="17"/>
        <v/>
      </c>
    </row>
    <row r="702" spans="8:8">
      <c r="H702" s="4" t="str">
        <f t="shared" si="17"/>
        <v/>
      </c>
    </row>
    <row r="703" spans="8:8">
      <c r="H703" s="4" t="str">
        <f t="shared" si="17"/>
        <v/>
      </c>
    </row>
    <row r="704" spans="8:8">
      <c r="H704" s="4" t="str">
        <f t="shared" si="17"/>
        <v/>
      </c>
    </row>
    <row r="705" spans="8:8">
      <c r="H705" s="4" t="str">
        <f t="shared" si="17"/>
        <v/>
      </c>
    </row>
    <row r="706" spans="8:8">
      <c r="H706" s="4" t="str">
        <f t="shared" si="17"/>
        <v/>
      </c>
    </row>
    <row r="707" spans="8:8">
      <c r="H707" s="4" t="str">
        <f t="shared" si="17"/>
        <v/>
      </c>
    </row>
    <row r="708" spans="8:8">
      <c r="H708" s="4" t="str">
        <f t="shared" si="17"/>
        <v/>
      </c>
    </row>
    <row r="709" spans="8:8">
      <c r="H709" s="4" t="str">
        <f t="shared" si="17"/>
        <v/>
      </c>
    </row>
    <row r="710" spans="8:8">
      <c r="H710" s="4" t="str">
        <f t="shared" ref="H710:H773" si="18">IF(D710="","","*"&amp; D710 &amp;"*")</f>
        <v/>
      </c>
    </row>
    <row r="711" spans="8:8">
      <c r="H711" s="4" t="str">
        <f t="shared" si="18"/>
        <v/>
      </c>
    </row>
    <row r="712" spans="8:8">
      <c r="H712" s="4" t="str">
        <f t="shared" si="18"/>
        <v/>
      </c>
    </row>
    <row r="713" spans="8:8">
      <c r="H713" s="4" t="str">
        <f t="shared" si="18"/>
        <v/>
      </c>
    </row>
    <row r="714" spans="8:8">
      <c r="H714" s="4" t="str">
        <f t="shared" si="18"/>
        <v/>
      </c>
    </row>
    <row r="715" spans="8:8">
      <c r="H715" s="4" t="str">
        <f t="shared" si="18"/>
        <v/>
      </c>
    </row>
    <row r="716" spans="8:8">
      <c r="H716" s="4" t="str">
        <f t="shared" si="18"/>
        <v/>
      </c>
    </row>
    <row r="717" spans="8:8">
      <c r="H717" s="4" t="str">
        <f t="shared" si="18"/>
        <v/>
      </c>
    </row>
    <row r="718" spans="8:8">
      <c r="H718" s="4" t="str">
        <f t="shared" si="18"/>
        <v/>
      </c>
    </row>
    <row r="719" spans="8:8">
      <c r="H719" s="4" t="str">
        <f t="shared" si="18"/>
        <v/>
      </c>
    </row>
    <row r="720" spans="8:8">
      <c r="H720" s="4" t="str">
        <f t="shared" si="18"/>
        <v/>
      </c>
    </row>
    <row r="721" spans="8:8">
      <c r="H721" s="4" t="str">
        <f t="shared" si="18"/>
        <v/>
      </c>
    </row>
    <row r="722" spans="8:8">
      <c r="H722" s="4" t="str">
        <f t="shared" si="18"/>
        <v/>
      </c>
    </row>
    <row r="723" spans="8:8">
      <c r="H723" s="4" t="str">
        <f t="shared" si="18"/>
        <v/>
      </c>
    </row>
    <row r="724" spans="8:8">
      <c r="H724" s="4" t="str">
        <f t="shared" si="18"/>
        <v/>
      </c>
    </row>
    <row r="725" spans="8:8">
      <c r="H725" s="4" t="str">
        <f t="shared" si="18"/>
        <v/>
      </c>
    </row>
    <row r="726" spans="8:8">
      <c r="H726" s="4" t="str">
        <f t="shared" si="18"/>
        <v/>
      </c>
    </row>
    <row r="727" spans="8:8">
      <c r="H727" s="4" t="str">
        <f t="shared" si="18"/>
        <v/>
      </c>
    </row>
    <row r="728" spans="8:8">
      <c r="H728" s="4" t="str">
        <f t="shared" si="18"/>
        <v/>
      </c>
    </row>
    <row r="729" spans="8:8">
      <c r="H729" s="4" t="str">
        <f t="shared" si="18"/>
        <v/>
      </c>
    </row>
    <row r="730" spans="8:8">
      <c r="H730" s="4" t="str">
        <f t="shared" si="18"/>
        <v/>
      </c>
    </row>
    <row r="731" spans="8:8">
      <c r="H731" s="4" t="str">
        <f t="shared" si="18"/>
        <v/>
      </c>
    </row>
    <row r="732" spans="8:8">
      <c r="H732" s="4" t="str">
        <f t="shared" si="18"/>
        <v/>
      </c>
    </row>
    <row r="733" spans="8:8">
      <c r="H733" s="4" t="str">
        <f t="shared" si="18"/>
        <v/>
      </c>
    </row>
    <row r="734" spans="8:8">
      <c r="H734" s="4" t="str">
        <f t="shared" si="18"/>
        <v/>
      </c>
    </row>
    <row r="735" spans="8:8">
      <c r="H735" s="4" t="str">
        <f t="shared" si="18"/>
        <v/>
      </c>
    </row>
    <row r="736" spans="8:8">
      <c r="H736" s="4" t="str">
        <f t="shared" si="18"/>
        <v/>
      </c>
    </row>
    <row r="737" spans="8:8">
      <c r="H737" s="4" t="str">
        <f t="shared" si="18"/>
        <v/>
      </c>
    </row>
    <row r="738" spans="8:8">
      <c r="H738" s="4" t="str">
        <f t="shared" si="18"/>
        <v/>
      </c>
    </row>
    <row r="739" spans="8:8">
      <c r="H739" s="4" t="str">
        <f t="shared" si="18"/>
        <v/>
      </c>
    </row>
    <row r="740" spans="8:8">
      <c r="H740" s="4" t="str">
        <f t="shared" si="18"/>
        <v/>
      </c>
    </row>
    <row r="741" spans="8:8">
      <c r="H741" s="4" t="str">
        <f t="shared" si="18"/>
        <v/>
      </c>
    </row>
    <row r="742" spans="8:8">
      <c r="H742" s="4" t="str">
        <f t="shared" si="18"/>
        <v/>
      </c>
    </row>
    <row r="743" spans="8:8">
      <c r="H743" s="4" t="str">
        <f t="shared" si="18"/>
        <v/>
      </c>
    </row>
    <row r="744" spans="8:8">
      <c r="H744" s="4" t="str">
        <f t="shared" si="18"/>
        <v/>
      </c>
    </row>
    <row r="745" spans="8:8">
      <c r="H745" s="4" t="str">
        <f t="shared" si="18"/>
        <v/>
      </c>
    </row>
    <row r="746" spans="8:8">
      <c r="H746" s="4" t="str">
        <f t="shared" si="18"/>
        <v/>
      </c>
    </row>
    <row r="747" spans="8:8">
      <c r="H747" s="4" t="str">
        <f t="shared" si="18"/>
        <v/>
      </c>
    </row>
    <row r="748" spans="8:8">
      <c r="H748" s="4" t="str">
        <f t="shared" si="18"/>
        <v/>
      </c>
    </row>
    <row r="749" spans="8:8">
      <c r="H749" s="4" t="str">
        <f t="shared" si="18"/>
        <v/>
      </c>
    </row>
    <row r="750" spans="8:8">
      <c r="H750" s="4" t="str">
        <f t="shared" si="18"/>
        <v/>
      </c>
    </row>
    <row r="751" spans="8:8">
      <c r="H751" s="4" t="str">
        <f t="shared" si="18"/>
        <v/>
      </c>
    </row>
    <row r="752" spans="8:8">
      <c r="H752" s="4" t="str">
        <f t="shared" si="18"/>
        <v/>
      </c>
    </row>
    <row r="753" spans="8:8">
      <c r="H753" s="4" t="str">
        <f t="shared" si="18"/>
        <v/>
      </c>
    </row>
    <row r="754" spans="8:8">
      <c r="H754" s="4" t="str">
        <f t="shared" si="18"/>
        <v/>
      </c>
    </row>
    <row r="755" spans="8:8">
      <c r="H755" s="4" t="str">
        <f t="shared" si="18"/>
        <v/>
      </c>
    </row>
    <row r="756" spans="8:8">
      <c r="H756" s="4" t="str">
        <f t="shared" si="18"/>
        <v/>
      </c>
    </row>
    <row r="757" spans="8:8">
      <c r="H757" s="4" t="str">
        <f t="shared" si="18"/>
        <v/>
      </c>
    </row>
    <row r="758" spans="8:8">
      <c r="H758" s="4" t="str">
        <f t="shared" si="18"/>
        <v/>
      </c>
    </row>
    <row r="759" spans="8:8">
      <c r="H759" s="4" t="str">
        <f t="shared" si="18"/>
        <v/>
      </c>
    </row>
    <row r="760" spans="8:8">
      <c r="H760" s="4" t="str">
        <f t="shared" si="18"/>
        <v/>
      </c>
    </row>
    <row r="761" spans="8:8">
      <c r="H761" s="4" t="str">
        <f t="shared" si="18"/>
        <v/>
      </c>
    </row>
    <row r="762" spans="8:8">
      <c r="H762" s="4" t="str">
        <f t="shared" si="18"/>
        <v/>
      </c>
    </row>
    <row r="763" spans="8:8">
      <c r="H763" s="4" t="str">
        <f t="shared" si="18"/>
        <v/>
      </c>
    </row>
    <row r="764" spans="8:8">
      <c r="H764" s="4" t="str">
        <f t="shared" si="18"/>
        <v/>
      </c>
    </row>
    <row r="765" spans="8:8">
      <c r="H765" s="4" t="str">
        <f t="shared" si="18"/>
        <v/>
      </c>
    </row>
    <row r="766" spans="8:8">
      <c r="H766" s="4" t="str">
        <f t="shared" si="18"/>
        <v/>
      </c>
    </row>
    <row r="767" spans="8:8">
      <c r="H767" s="4" t="str">
        <f t="shared" si="18"/>
        <v/>
      </c>
    </row>
    <row r="768" spans="8:8">
      <c r="H768" s="4" t="str">
        <f t="shared" si="18"/>
        <v/>
      </c>
    </row>
    <row r="769" spans="8:8">
      <c r="H769" s="4" t="str">
        <f t="shared" si="18"/>
        <v/>
      </c>
    </row>
    <row r="770" spans="8:8">
      <c r="H770" s="4" t="str">
        <f t="shared" si="18"/>
        <v/>
      </c>
    </row>
    <row r="771" spans="8:8">
      <c r="H771" s="4" t="str">
        <f t="shared" si="18"/>
        <v/>
      </c>
    </row>
    <row r="772" spans="8:8">
      <c r="H772" s="4" t="str">
        <f t="shared" si="18"/>
        <v/>
      </c>
    </row>
    <row r="773" spans="8:8">
      <c r="H773" s="4" t="str">
        <f t="shared" si="18"/>
        <v/>
      </c>
    </row>
    <row r="774" spans="8:8">
      <c r="H774" s="4" t="str">
        <f t="shared" ref="H774:H837" si="19">IF(D774="","","*"&amp; D774 &amp;"*")</f>
        <v/>
      </c>
    </row>
    <row r="775" spans="8:8">
      <c r="H775" s="4" t="str">
        <f t="shared" si="19"/>
        <v/>
      </c>
    </row>
    <row r="776" spans="8:8">
      <c r="H776" s="4" t="str">
        <f t="shared" si="19"/>
        <v/>
      </c>
    </row>
    <row r="777" spans="8:8">
      <c r="H777" s="4" t="str">
        <f t="shared" si="19"/>
        <v/>
      </c>
    </row>
    <row r="778" spans="8:8">
      <c r="H778" s="4" t="str">
        <f t="shared" si="19"/>
        <v/>
      </c>
    </row>
    <row r="779" spans="8:8">
      <c r="H779" s="4" t="str">
        <f t="shared" si="19"/>
        <v/>
      </c>
    </row>
    <row r="780" spans="8:8">
      <c r="H780" s="4" t="str">
        <f t="shared" si="19"/>
        <v/>
      </c>
    </row>
    <row r="781" spans="8:8">
      <c r="H781" s="4" t="str">
        <f t="shared" si="19"/>
        <v/>
      </c>
    </row>
    <row r="782" spans="8:8">
      <c r="H782" s="4" t="str">
        <f t="shared" si="19"/>
        <v/>
      </c>
    </row>
    <row r="783" spans="8:8">
      <c r="H783" s="4" t="str">
        <f t="shared" si="19"/>
        <v/>
      </c>
    </row>
    <row r="784" spans="8:8">
      <c r="H784" s="4" t="str">
        <f t="shared" si="19"/>
        <v/>
      </c>
    </row>
    <row r="785" spans="8:8">
      <c r="H785" s="4" t="str">
        <f t="shared" si="19"/>
        <v/>
      </c>
    </row>
    <row r="786" spans="8:8">
      <c r="H786" s="4" t="str">
        <f t="shared" si="19"/>
        <v/>
      </c>
    </row>
    <row r="787" spans="8:8">
      <c r="H787" s="4" t="str">
        <f t="shared" si="19"/>
        <v/>
      </c>
    </row>
    <row r="788" spans="8:8">
      <c r="H788" s="4" t="str">
        <f t="shared" si="19"/>
        <v/>
      </c>
    </row>
    <row r="789" spans="8:8">
      <c r="H789" s="4" t="str">
        <f t="shared" si="19"/>
        <v/>
      </c>
    </row>
    <row r="790" spans="8:8">
      <c r="H790" s="4" t="str">
        <f t="shared" si="19"/>
        <v/>
      </c>
    </row>
    <row r="791" spans="8:8">
      <c r="H791" s="4" t="str">
        <f t="shared" si="19"/>
        <v/>
      </c>
    </row>
    <row r="792" spans="8:8">
      <c r="H792" s="4" t="str">
        <f t="shared" si="19"/>
        <v/>
      </c>
    </row>
    <row r="793" spans="8:8">
      <c r="H793" s="4" t="str">
        <f t="shared" si="19"/>
        <v/>
      </c>
    </row>
    <row r="794" spans="8:8">
      <c r="H794" s="4" t="str">
        <f t="shared" si="19"/>
        <v/>
      </c>
    </row>
    <row r="795" spans="8:8">
      <c r="H795" s="4" t="str">
        <f t="shared" si="19"/>
        <v/>
      </c>
    </row>
    <row r="796" spans="8:8">
      <c r="H796" s="4" t="str">
        <f t="shared" si="19"/>
        <v/>
      </c>
    </row>
    <row r="797" spans="8:8">
      <c r="H797" s="4" t="str">
        <f t="shared" si="19"/>
        <v/>
      </c>
    </row>
    <row r="798" spans="8:8">
      <c r="H798" s="4" t="str">
        <f t="shared" si="19"/>
        <v/>
      </c>
    </row>
    <row r="799" spans="8:8">
      <c r="H799" s="4" t="str">
        <f t="shared" si="19"/>
        <v/>
      </c>
    </row>
    <row r="800" spans="8:8">
      <c r="H800" s="4" t="str">
        <f t="shared" si="19"/>
        <v/>
      </c>
    </row>
    <row r="801" spans="8:8">
      <c r="H801" s="4" t="str">
        <f t="shared" si="19"/>
        <v/>
      </c>
    </row>
    <row r="802" spans="8:8">
      <c r="H802" s="4" t="str">
        <f t="shared" si="19"/>
        <v/>
      </c>
    </row>
    <row r="803" spans="8:8">
      <c r="H803" s="4" t="str">
        <f t="shared" si="19"/>
        <v/>
      </c>
    </row>
    <row r="804" spans="8:8">
      <c r="H804" s="4" t="str">
        <f t="shared" si="19"/>
        <v/>
      </c>
    </row>
    <row r="805" spans="8:8">
      <c r="H805" s="4" t="str">
        <f t="shared" si="19"/>
        <v/>
      </c>
    </row>
    <row r="806" spans="8:8">
      <c r="H806" s="4" t="str">
        <f t="shared" si="19"/>
        <v/>
      </c>
    </row>
    <row r="807" spans="8:8">
      <c r="H807" s="4" t="str">
        <f t="shared" si="19"/>
        <v/>
      </c>
    </row>
    <row r="808" spans="8:8">
      <c r="H808" s="4" t="str">
        <f t="shared" si="19"/>
        <v/>
      </c>
    </row>
    <row r="809" spans="8:8">
      <c r="H809" s="4" t="str">
        <f t="shared" si="19"/>
        <v/>
      </c>
    </row>
    <row r="810" spans="8:8">
      <c r="H810" s="4" t="str">
        <f t="shared" si="19"/>
        <v/>
      </c>
    </row>
    <row r="811" spans="8:8">
      <c r="H811" s="4" t="str">
        <f t="shared" si="19"/>
        <v/>
      </c>
    </row>
    <row r="812" spans="8:8">
      <c r="H812" s="4" t="str">
        <f t="shared" si="19"/>
        <v/>
      </c>
    </row>
    <row r="813" spans="8:8">
      <c r="H813" s="4" t="str">
        <f t="shared" si="19"/>
        <v/>
      </c>
    </row>
    <row r="814" spans="8:8">
      <c r="H814" s="4" t="str">
        <f t="shared" si="19"/>
        <v/>
      </c>
    </row>
    <row r="815" spans="8:8">
      <c r="H815" s="4" t="str">
        <f t="shared" si="19"/>
        <v/>
      </c>
    </row>
    <row r="816" spans="8:8">
      <c r="H816" s="4" t="str">
        <f t="shared" si="19"/>
        <v/>
      </c>
    </row>
    <row r="817" spans="8:8">
      <c r="H817" s="4" t="str">
        <f t="shared" si="19"/>
        <v/>
      </c>
    </row>
    <row r="818" spans="8:8">
      <c r="H818" s="4" t="str">
        <f t="shared" si="19"/>
        <v/>
      </c>
    </row>
    <row r="819" spans="8:8">
      <c r="H819" s="4" t="str">
        <f t="shared" si="19"/>
        <v/>
      </c>
    </row>
    <row r="820" spans="8:8">
      <c r="H820" s="4" t="str">
        <f t="shared" si="19"/>
        <v/>
      </c>
    </row>
    <row r="821" spans="8:8">
      <c r="H821" s="4" t="str">
        <f t="shared" si="19"/>
        <v/>
      </c>
    </row>
    <row r="822" spans="8:8">
      <c r="H822" s="4" t="str">
        <f t="shared" si="19"/>
        <v/>
      </c>
    </row>
    <row r="823" spans="8:8">
      <c r="H823" s="4" t="str">
        <f t="shared" si="19"/>
        <v/>
      </c>
    </row>
    <row r="824" spans="8:8">
      <c r="H824" s="4" t="str">
        <f t="shared" si="19"/>
        <v/>
      </c>
    </row>
    <row r="825" spans="8:8">
      <c r="H825" s="4" t="str">
        <f t="shared" si="19"/>
        <v/>
      </c>
    </row>
    <row r="826" spans="8:8">
      <c r="H826" s="4" t="str">
        <f t="shared" si="19"/>
        <v/>
      </c>
    </row>
    <row r="827" spans="8:8">
      <c r="H827" s="4" t="str">
        <f t="shared" si="19"/>
        <v/>
      </c>
    </row>
    <row r="828" spans="8:8">
      <c r="H828" s="4" t="str">
        <f t="shared" si="19"/>
        <v/>
      </c>
    </row>
    <row r="829" spans="8:8">
      <c r="H829" s="4" t="str">
        <f t="shared" si="19"/>
        <v/>
      </c>
    </row>
    <row r="830" spans="8:8">
      <c r="H830" s="4" t="str">
        <f t="shared" si="19"/>
        <v/>
      </c>
    </row>
    <row r="831" spans="8:8">
      <c r="H831" s="4" t="str">
        <f t="shared" si="19"/>
        <v/>
      </c>
    </row>
    <row r="832" spans="8:8">
      <c r="H832" s="4" t="str">
        <f t="shared" si="19"/>
        <v/>
      </c>
    </row>
    <row r="833" spans="8:8">
      <c r="H833" s="4" t="str">
        <f t="shared" si="19"/>
        <v/>
      </c>
    </row>
    <row r="834" spans="8:8">
      <c r="H834" s="4" t="str">
        <f t="shared" si="19"/>
        <v/>
      </c>
    </row>
    <row r="835" spans="8:8">
      <c r="H835" s="4" t="str">
        <f t="shared" si="19"/>
        <v/>
      </c>
    </row>
    <row r="836" spans="8:8">
      <c r="H836" s="4" t="str">
        <f t="shared" si="19"/>
        <v/>
      </c>
    </row>
    <row r="837" spans="8:8">
      <c r="H837" s="4" t="str">
        <f t="shared" si="19"/>
        <v/>
      </c>
    </row>
    <row r="838" spans="8:8">
      <c r="H838" s="4" t="str">
        <f t="shared" ref="H838:H901" si="20">IF(D838="","","*"&amp; D838 &amp;"*")</f>
        <v/>
      </c>
    </row>
    <row r="839" spans="8:8">
      <c r="H839" s="4" t="str">
        <f t="shared" si="20"/>
        <v/>
      </c>
    </row>
    <row r="840" spans="8:8">
      <c r="H840" s="4" t="str">
        <f t="shared" si="20"/>
        <v/>
      </c>
    </row>
    <row r="841" spans="8:8">
      <c r="H841" s="4" t="str">
        <f t="shared" si="20"/>
        <v/>
      </c>
    </row>
    <row r="842" spans="8:8">
      <c r="H842" s="4" t="str">
        <f t="shared" si="20"/>
        <v/>
      </c>
    </row>
    <row r="843" spans="8:8">
      <c r="H843" s="4" t="str">
        <f t="shared" si="20"/>
        <v/>
      </c>
    </row>
    <row r="844" spans="8:8">
      <c r="H844" s="4" t="str">
        <f t="shared" si="20"/>
        <v/>
      </c>
    </row>
    <row r="845" spans="8:8">
      <c r="H845" s="4" t="str">
        <f t="shared" si="20"/>
        <v/>
      </c>
    </row>
    <row r="846" spans="8:8">
      <c r="H846" s="4" t="str">
        <f t="shared" si="20"/>
        <v/>
      </c>
    </row>
    <row r="847" spans="8:8">
      <c r="H847" s="4" t="str">
        <f t="shared" si="20"/>
        <v/>
      </c>
    </row>
    <row r="848" spans="8:8">
      <c r="H848" s="4" t="str">
        <f t="shared" si="20"/>
        <v/>
      </c>
    </row>
    <row r="849" spans="8:8">
      <c r="H849" s="4" t="str">
        <f t="shared" si="20"/>
        <v/>
      </c>
    </row>
    <row r="850" spans="8:8">
      <c r="H850" s="4" t="str">
        <f t="shared" si="20"/>
        <v/>
      </c>
    </row>
    <row r="851" spans="8:8">
      <c r="H851" s="4" t="str">
        <f t="shared" si="20"/>
        <v/>
      </c>
    </row>
    <row r="852" spans="8:8">
      <c r="H852" s="4" t="str">
        <f t="shared" si="20"/>
        <v/>
      </c>
    </row>
    <row r="853" spans="8:8">
      <c r="H853" s="4" t="str">
        <f t="shared" si="20"/>
        <v/>
      </c>
    </row>
    <row r="854" spans="8:8">
      <c r="H854" s="4" t="str">
        <f t="shared" si="20"/>
        <v/>
      </c>
    </row>
    <row r="855" spans="8:8">
      <c r="H855" s="4" t="str">
        <f t="shared" si="20"/>
        <v/>
      </c>
    </row>
    <row r="856" spans="8:8">
      <c r="H856" s="4" t="str">
        <f t="shared" si="20"/>
        <v/>
      </c>
    </row>
    <row r="857" spans="8:8">
      <c r="H857" s="4" t="str">
        <f t="shared" si="20"/>
        <v/>
      </c>
    </row>
    <row r="858" spans="8:8">
      <c r="H858" s="4" t="str">
        <f t="shared" si="20"/>
        <v/>
      </c>
    </row>
    <row r="859" spans="8:8">
      <c r="H859" s="4" t="str">
        <f t="shared" si="20"/>
        <v/>
      </c>
    </row>
    <row r="860" spans="8:8">
      <c r="H860" s="4" t="str">
        <f t="shared" si="20"/>
        <v/>
      </c>
    </row>
    <row r="861" spans="8:8">
      <c r="H861" s="4" t="str">
        <f t="shared" si="20"/>
        <v/>
      </c>
    </row>
    <row r="862" spans="8:8">
      <c r="H862" s="4" t="str">
        <f t="shared" si="20"/>
        <v/>
      </c>
    </row>
    <row r="863" spans="8:8">
      <c r="H863" s="4" t="str">
        <f t="shared" si="20"/>
        <v/>
      </c>
    </row>
    <row r="864" spans="8:8">
      <c r="H864" s="4" t="str">
        <f t="shared" si="20"/>
        <v/>
      </c>
    </row>
    <row r="865" spans="8:8">
      <c r="H865" s="4" t="str">
        <f t="shared" si="20"/>
        <v/>
      </c>
    </row>
    <row r="866" spans="8:8">
      <c r="H866" s="4" t="str">
        <f t="shared" si="20"/>
        <v/>
      </c>
    </row>
    <row r="867" spans="8:8">
      <c r="H867" s="4" t="str">
        <f t="shared" si="20"/>
        <v/>
      </c>
    </row>
    <row r="868" spans="8:8">
      <c r="H868" s="4" t="str">
        <f t="shared" si="20"/>
        <v/>
      </c>
    </row>
    <row r="869" spans="8:8">
      <c r="H869" s="4" t="str">
        <f t="shared" si="20"/>
        <v/>
      </c>
    </row>
    <row r="870" spans="8:8">
      <c r="H870" s="4" t="str">
        <f t="shared" si="20"/>
        <v/>
      </c>
    </row>
    <row r="871" spans="8:8">
      <c r="H871" s="4" t="str">
        <f t="shared" si="20"/>
        <v/>
      </c>
    </row>
    <row r="872" spans="8:8">
      <c r="H872" s="4" t="str">
        <f t="shared" si="20"/>
        <v/>
      </c>
    </row>
    <row r="873" spans="8:8">
      <c r="H873" s="4" t="str">
        <f t="shared" si="20"/>
        <v/>
      </c>
    </row>
    <row r="874" spans="8:8">
      <c r="H874" s="4" t="str">
        <f t="shared" si="20"/>
        <v/>
      </c>
    </row>
    <row r="875" spans="8:8">
      <c r="H875" s="4" t="str">
        <f t="shared" si="20"/>
        <v/>
      </c>
    </row>
    <row r="876" spans="8:8">
      <c r="H876" s="4" t="str">
        <f t="shared" si="20"/>
        <v/>
      </c>
    </row>
    <row r="877" spans="8:8">
      <c r="H877" s="4" t="str">
        <f t="shared" si="20"/>
        <v/>
      </c>
    </row>
    <row r="878" spans="8:8">
      <c r="H878" s="4" t="str">
        <f t="shared" si="20"/>
        <v/>
      </c>
    </row>
    <row r="879" spans="8:8">
      <c r="H879" s="4" t="str">
        <f t="shared" si="20"/>
        <v/>
      </c>
    </row>
    <row r="880" spans="8:8">
      <c r="H880" s="4" t="str">
        <f t="shared" si="20"/>
        <v/>
      </c>
    </row>
    <row r="881" spans="8:8">
      <c r="H881" s="4" t="str">
        <f t="shared" si="20"/>
        <v/>
      </c>
    </row>
    <row r="882" spans="8:8">
      <c r="H882" s="4" t="str">
        <f t="shared" si="20"/>
        <v/>
      </c>
    </row>
    <row r="883" spans="8:8">
      <c r="H883" s="4" t="str">
        <f t="shared" si="20"/>
        <v/>
      </c>
    </row>
    <row r="884" spans="8:8">
      <c r="H884" s="4" t="str">
        <f t="shared" si="20"/>
        <v/>
      </c>
    </row>
    <row r="885" spans="8:8">
      <c r="H885" s="4" t="str">
        <f t="shared" si="20"/>
        <v/>
      </c>
    </row>
    <row r="886" spans="8:8">
      <c r="H886" s="4" t="str">
        <f t="shared" si="20"/>
        <v/>
      </c>
    </row>
    <row r="887" spans="8:8">
      <c r="H887" s="4" t="str">
        <f t="shared" si="20"/>
        <v/>
      </c>
    </row>
    <row r="888" spans="8:8">
      <c r="H888" s="4" t="str">
        <f t="shared" si="20"/>
        <v/>
      </c>
    </row>
    <row r="889" spans="8:8">
      <c r="H889" s="4" t="str">
        <f t="shared" si="20"/>
        <v/>
      </c>
    </row>
    <row r="890" spans="8:8">
      <c r="H890" s="4" t="str">
        <f t="shared" si="20"/>
        <v/>
      </c>
    </row>
    <row r="891" spans="8:8">
      <c r="H891" s="4" t="str">
        <f t="shared" si="20"/>
        <v/>
      </c>
    </row>
    <row r="892" spans="8:8">
      <c r="H892" s="4" t="str">
        <f t="shared" si="20"/>
        <v/>
      </c>
    </row>
    <row r="893" spans="8:8">
      <c r="H893" s="4" t="str">
        <f t="shared" si="20"/>
        <v/>
      </c>
    </row>
    <row r="894" spans="8:8">
      <c r="H894" s="4" t="str">
        <f t="shared" si="20"/>
        <v/>
      </c>
    </row>
    <row r="895" spans="8:8">
      <c r="H895" s="4" t="str">
        <f t="shared" si="20"/>
        <v/>
      </c>
    </row>
    <row r="896" spans="8:8">
      <c r="H896" s="4" t="str">
        <f t="shared" si="20"/>
        <v/>
      </c>
    </row>
    <row r="897" spans="8:8">
      <c r="H897" s="4" t="str">
        <f t="shared" si="20"/>
        <v/>
      </c>
    </row>
    <row r="898" spans="8:8">
      <c r="H898" s="4" t="str">
        <f t="shared" si="20"/>
        <v/>
      </c>
    </row>
    <row r="899" spans="8:8">
      <c r="H899" s="4" t="str">
        <f t="shared" si="20"/>
        <v/>
      </c>
    </row>
    <row r="900" spans="8:8">
      <c r="H900" s="4" t="str">
        <f t="shared" si="20"/>
        <v/>
      </c>
    </row>
    <row r="901" spans="8:8">
      <c r="H901" s="4" t="str">
        <f t="shared" si="20"/>
        <v/>
      </c>
    </row>
    <row r="902" spans="8:8">
      <c r="H902" s="4" t="str">
        <f t="shared" ref="H902:H965" si="21">IF(D902="","","*"&amp; D902 &amp;"*")</f>
        <v/>
      </c>
    </row>
    <row r="903" spans="8:8">
      <c r="H903" s="4" t="str">
        <f t="shared" si="21"/>
        <v/>
      </c>
    </row>
    <row r="904" spans="8:8">
      <c r="H904" s="4" t="str">
        <f t="shared" si="21"/>
        <v/>
      </c>
    </row>
    <row r="905" spans="8:8">
      <c r="H905" s="4" t="str">
        <f t="shared" si="21"/>
        <v/>
      </c>
    </row>
    <row r="906" spans="8:8">
      <c r="H906" s="4" t="str">
        <f t="shared" si="21"/>
        <v/>
      </c>
    </row>
    <row r="907" spans="8:8">
      <c r="H907" s="4" t="str">
        <f t="shared" si="21"/>
        <v/>
      </c>
    </row>
    <row r="908" spans="8:8">
      <c r="H908" s="4" t="str">
        <f t="shared" si="21"/>
        <v/>
      </c>
    </row>
    <row r="909" spans="8:8">
      <c r="H909" s="4" t="str">
        <f t="shared" si="21"/>
        <v/>
      </c>
    </row>
    <row r="910" spans="8:8">
      <c r="H910" s="4" t="str">
        <f t="shared" si="21"/>
        <v/>
      </c>
    </row>
    <row r="911" spans="8:8">
      <c r="H911" s="4" t="str">
        <f t="shared" si="21"/>
        <v/>
      </c>
    </row>
    <row r="912" spans="8:8">
      <c r="H912" s="4" t="str">
        <f t="shared" si="21"/>
        <v/>
      </c>
    </row>
    <row r="913" spans="8:8">
      <c r="H913" s="4" t="str">
        <f t="shared" si="21"/>
        <v/>
      </c>
    </row>
    <row r="914" spans="8:8">
      <c r="H914" s="4" t="str">
        <f t="shared" si="21"/>
        <v/>
      </c>
    </row>
    <row r="915" spans="8:8">
      <c r="H915" s="4" t="str">
        <f t="shared" si="21"/>
        <v/>
      </c>
    </row>
    <row r="916" spans="8:8">
      <c r="H916" s="4" t="str">
        <f t="shared" si="21"/>
        <v/>
      </c>
    </row>
    <row r="917" spans="8:8">
      <c r="H917" s="4" t="str">
        <f t="shared" si="21"/>
        <v/>
      </c>
    </row>
    <row r="918" spans="8:8">
      <c r="H918" s="4" t="str">
        <f t="shared" si="21"/>
        <v/>
      </c>
    </row>
    <row r="919" spans="8:8">
      <c r="H919" s="4" t="str">
        <f t="shared" si="21"/>
        <v/>
      </c>
    </row>
    <row r="920" spans="8:8">
      <c r="H920" s="4" t="str">
        <f t="shared" si="21"/>
        <v/>
      </c>
    </row>
    <row r="921" spans="8:8">
      <c r="H921" s="4" t="str">
        <f t="shared" si="21"/>
        <v/>
      </c>
    </row>
    <row r="922" spans="8:8">
      <c r="H922" s="4" t="str">
        <f t="shared" si="21"/>
        <v/>
      </c>
    </row>
    <row r="923" spans="8:8">
      <c r="H923" s="4" t="str">
        <f t="shared" si="21"/>
        <v/>
      </c>
    </row>
    <row r="924" spans="8:8">
      <c r="H924" s="4" t="str">
        <f t="shared" si="21"/>
        <v/>
      </c>
    </row>
    <row r="925" spans="8:8">
      <c r="H925" s="4" t="str">
        <f t="shared" si="21"/>
        <v/>
      </c>
    </row>
    <row r="926" spans="8:8">
      <c r="H926" s="4" t="str">
        <f t="shared" si="21"/>
        <v/>
      </c>
    </row>
    <row r="927" spans="8:8">
      <c r="H927" s="4" t="str">
        <f t="shared" si="21"/>
        <v/>
      </c>
    </row>
    <row r="928" spans="8:8">
      <c r="H928" s="4" t="str">
        <f t="shared" si="21"/>
        <v/>
      </c>
    </row>
    <row r="929" spans="8:8">
      <c r="H929" s="4" t="str">
        <f t="shared" si="21"/>
        <v/>
      </c>
    </row>
    <row r="930" spans="8:8">
      <c r="H930" s="4" t="str">
        <f t="shared" si="21"/>
        <v/>
      </c>
    </row>
    <row r="931" spans="8:8">
      <c r="H931" s="4" t="str">
        <f t="shared" si="21"/>
        <v/>
      </c>
    </row>
    <row r="932" spans="8:8">
      <c r="H932" s="4" t="str">
        <f t="shared" si="21"/>
        <v/>
      </c>
    </row>
    <row r="933" spans="8:8">
      <c r="H933" s="4" t="str">
        <f t="shared" si="21"/>
        <v/>
      </c>
    </row>
    <row r="934" spans="8:8">
      <c r="H934" s="4" t="str">
        <f t="shared" si="21"/>
        <v/>
      </c>
    </row>
    <row r="935" spans="8:8">
      <c r="H935" s="4" t="str">
        <f t="shared" si="21"/>
        <v/>
      </c>
    </row>
    <row r="936" spans="8:8">
      <c r="H936" s="4" t="str">
        <f t="shared" si="21"/>
        <v/>
      </c>
    </row>
    <row r="937" spans="8:8">
      <c r="H937" s="4" t="str">
        <f t="shared" si="21"/>
        <v/>
      </c>
    </row>
    <row r="938" spans="8:8">
      <c r="H938" s="4" t="str">
        <f t="shared" si="21"/>
        <v/>
      </c>
    </row>
    <row r="939" spans="8:8">
      <c r="H939" s="4" t="str">
        <f t="shared" si="21"/>
        <v/>
      </c>
    </row>
    <row r="940" spans="8:8">
      <c r="H940" s="4" t="str">
        <f t="shared" si="21"/>
        <v/>
      </c>
    </row>
    <row r="941" spans="8:8">
      <c r="H941" s="4" t="str">
        <f t="shared" si="21"/>
        <v/>
      </c>
    </row>
    <row r="942" spans="8:8">
      <c r="H942" s="4" t="str">
        <f t="shared" si="21"/>
        <v/>
      </c>
    </row>
    <row r="943" spans="8:8">
      <c r="H943" s="4" t="str">
        <f t="shared" si="21"/>
        <v/>
      </c>
    </row>
    <row r="944" spans="8:8">
      <c r="H944" s="4" t="str">
        <f t="shared" si="21"/>
        <v/>
      </c>
    </row>
    <row r="945" spans="8:8">
      <c r="H945" s="4" t="str">
        <f t="shared" si="21"/>
        <v/>
      </c>
    </row>
    <row r="946" spans="8:8">
      <c r="H946" s="4" t="str">
        <f t="shared" si="21"/>
        <v/>
      </c>
    </row>
    <row r="947" spans="8:8">
      <c r="H947" s="4" t="str">
        <f t="shared" si="21"/>
        <v/>
      </c>
    </row>
    <row r="948" spans="8:8">
      <c r="H948" s="4" t="str">
        <f t="shared" si="21"/>
        <v/>
      </c>
    </row>
    <row r="949" spans="8:8">
      <c r="H949" s="4" t="str">
        <f t="shared" si="21"/>
        <v/>
      </c>
    </row>
    <row r="950" spans="8:8">
      <c r="H950" s="4" t="str">
        <f t="shared" si="21"/>
        <v/>
      </c>
    </row>
    <row r="951" spans="8:8">
      <c r="H951" s="4" t="str">
        <f t="shared" si="21"/>
        <v/>
      </c>
    </row>
    <row r="952" spans="8:8">
      <c r="H952" s="4" t="str">
        <f t="shared" si="21"/>
        <v/>
      </c>
    </row>
    <row r="953" spans="8:8">
      <c r="H953" s="4" t="str">
        <f t="shared" si="21"/>
        <v/>
      </c>
    </row>
    <row r="954" spans="8:8">
      <c r="H954" s="4" t="str">
        <f t="shared" si="21"/>
        <v/>
      </c>
    </row>
    <row r="955" spans="8:8">
      <c r="H955" s="4" t="str">
        <f t="shared" si="21"/>
        <v/>
      </c>
    </row>
    <row r="956" spans="8:8">
      <c r="H956" s="4" t="str">
        <f t="shared" si="21"/>
        <v/>
      </c>
    </row>
    <row r="957" spans="8:8">
      <c r="H957" s="4" t="str">
        <f t="shared" si="21"/>
        <v/>
      </c>
    </row>
    <row r="958" spans="8:8">
      <c r="H958" s="4" t="str">
        <f t="shared" si="21"/>
        <v/>
      </c>
    </row>
    <row r="959" spans="8:8">
      <c r="H959" s="4" t="str">
        <f t="shared" si="21"/>
        <v/>
      </c>
    </row>
    <row r="960" spans="8:8">
      <c r="H960" s="4" t="str">
        <f t="shared" si="21"/>
        <v/>
      </c>
    </row>
    <row r="961" spans="8:8">
      <c r="H961" s="4" t="str">
        <f t="shared" si="21"/>
        <v/>
      </c>
    </row>
    <row r="962" spans="8:8">
      <c r="H962" s="4" t="str">
        <f t="shared" si="21"/>
        <v/>
      </c>
    </row>
    <row r="963" spans="8:8">
      <c r="H963" s="4" t="str">
        <f t="shared" si="21"/>
        <v/>
      </c>
    </row>
    <row r="964" spans="8:8">
      <c r="H964" s="4" t="str">
        <f t="shared" si="21"/>
        <v/>
      </c>
    </row>
    <row r="965" spans="8:8">
      <c r="H965" s="4" t="str">
        <f t="shared" si="21"/>
        <v/>
      </c>
    </row>
    <row r="966" spans="8:8">
      <c r="H966" s="4" t="str">
        <f t="shared" ref="H966:H999" si="22">IF(D966="","","*"&amp; D966 &amp;"*")</f>
        <v/>
      </c>
    </row>
    <row r="967" spans="8:8">
      <c r="H967" s="4" t="str">
        <f t="shared" si="22"/>
        <v/>
      </c>
    </row>
    <row r="968" spans="8:8">
      <c r="H968" s="4" t="str">
        <f t="shared" si="22"/>
        <v/>
      </c>
    </row>
    <row r="969" spans="8:8">
      <c r="H969" s="4" t="str">
        <f t="shared" si="22"/>
        <v/>
      </c>
    </row>
    <row r="970" spans="8:8">
      <c r="H970" s="4" t="str">
        <f t="shared" si="22"/>
        <v/>
      </c>
    </row>
    <row r="971" spans="8:8">
      <c r="H971" s="4" t="str">
        <f t="shared" si="22"/>
        <v/>
      </c>
    </row>
    <row r="972" spans="8:8">
      <c r="H972" s="4" t="str">
        <f t="shared" si="22"/>
        <v/>
      </c>
    </row>
    <row r="973" spans="8:8">
      <c r="H973" s="4" t="str">
        <f t="shared" si="22"/>
        <v/>
      </c>
    </row>
    <row r="974" spans="8:8">
      <c r="H974" s="4" t="str">
        <f t="shared" si="22"/>
        <v/>
      </c>
    </row>
    <row r="975" spans="8:8">
      <c r="H975" s="4" t="str">
        <f t="shared" si="22"/>
        <v/>
      </c>
    </row>
    <row r="976" spans="8:8">
      <c r="H976" s="4" t="str">
        <f t="shared" si="22"/>
        <v/>
      </c>
    </row>
    <row r="977" spans="8:8">
      <c r="H977" s="4" t="str">
        <f t="shared" si="22"/>
        <v/>
      </c>
    </row>
    <row r="978" spans="8:8">
      <c r="H978" s="4" t="str">
        <f t="shared" si="22"/>
        <v/>
      </c>
    </row>
    <row r="979" spans="8:8">
      <c r="H979" s="4" t="str">
        <f t="shared" si="22"/>
        <v/>
      </c>
    </row>
    <row r="980" spans="8:8">
      <c r="H980" s="4" t="str">
        <f t="shared" si="22"/>
        <v/>
      </c>
    </row>
    <row r="981" spans="8:8">
      <c r="H981" s="4" t="str">
        <f t="shared" si="22"/>
        <v/>
      </c>
    </row>
    <row r="982" spans="8:8">
      <c r="H982" s="4" t="str">
        <f t="shared" si="22"/>
        <v/>
      </c>
    </row>
    <row r="983" spans="8:8">
      <c r="H983" s="4" t="str">
        <f t="shared" si="22"/>
        <v/>
      </c>
    </row>
    <row r="984" spans="8:8">
      <c r="H984" s="4" t="str">
        <f t="shared" si="22"/>
        <v/>
      </c>
    </row>
    <row r="985" spans="8:8">
      <c r="H985" s="4" t="str">
        <f t="shared" si="22"/>
        <v/>
      </c>
    </row>
    <row r="986" spans="8:8">
      <c r="H986" s="4" t="str">
        <f t="shared" si="22"/>
        <v/>
      </c>
    </row>
    <row r="987" spans="8:8">
      <c r="H987" s="4" t="str">
        <f t="shared" si="22"/>
        <v/>
      </c>
    </row>
    <row r="988" spans="8:8">
      <c r="H988" s="4" t="str">
        <f t="shared" si="22"/>
        <v/>
      </c>
    </row>
    <row r="989" spans="8:8">
      <c r="H989" s="4" t="str">
        <f t="shared" si="22"/>
        <v/>
      </c>
    </row>
    <row r="990" spans="8:8">
      <c r="H990" s="4" t="str">
        <f t="shared" si="22"/>
        <v/>
      </c>
    </row>
    <row r="991" spans="8:8">
      <c r="H991" s="4" t="str">
        <f t="shared" si="22"/>
        <v/>
      </c>
    </row>
    <row r="992" spans="8:8">
      <c r="H992" s="4" t="str">
        <f t="shared" si="22"/>
        <v/>
      </c>
    </row>
    <row r="993" spans="8:8">
      <c r="H993" s="4" t="str">
        <f t="shared" si="22"/>
        <v/>
      </c>
    </row>
    <row r="994" spans="8:8">
      <c r="H994" s="4" t="str">
        <f t="shared" si="22"/>
        <v/>
      </c>
    </row>
    <row r="995" spans="8:8">
      <c r="H995" s="4" t="str">
        <f t="shared" si="22"/>
        <v/>
      </c>
    </row>
    <row r="996" spans="8:8">
      <c r="H996" s="4" t="str">
        <f t="shared" si="22"/>
        <v/>
      </c>
    </row>
    <row r="997" spans="8:8">
      <c r="H997" s="4" t="str">
        <f t="shared" si="22"/>
        <v/>
      </c>
    </row>
    <row r="998" spans="8:8">
      <c r="H998" s="4" t="str">
        <f t="shared" si="22"/>
        <v/>
      </c>
    </row>
    <row r="999" spans="8:8">
      <c r="H999" s="4" t="str">
        <f t="shared" si="22"/>
        <v/>
      </c>
    </row>
  </sheetData>
  <mergeCells count="6">
    <mergeCell ref="C4:C5"/>
    <mergeCell ref="G4:G5"/>
    <mergeCell ref="E4:E5"/>
    <mergeCell ref="F4:F5"/>
    <mergeCell ref="H4:H5"/>
    <mergeCell ref="D4:D5"/>
  </mergeCells>
  <dataValidations count="1">
    <dataValidation type="list" allowBlank="1" showInputMessage="1" showErrorMessage="1" sqref="E6" xr:uid="{992A533D-0271-4704-A127-86A5790FC01F}">
      <formula1>ListBrand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3F4CF2-16DD-49DD-946C-D8ECE84BF3E9}">
          <x14:formula1>
            <xm:f>'Brand Name'!$E$6:$E$1000</xm:f>
          </x14:formula1>
          <xm:sqref>E7:E999</xm:sqref>
        </x14:dataValidation>
        <x14:dataValidation type="list" allowBlank="1" showInputMessage="1" showErrorMessage="1" xr:uid="{A34B1594-C220-4221-83BC-161D087A5932}">
          <x14:formula1>
            <xm:f>'Category Item'!$E$6:$E$1000</xm:f>
          </x14:formula1>
          <xm:sqref>F6:F999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workbookViewId="0">
      <selection activeCell="D6" sqref="D6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7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7" t="s">
        <v>4</v>
      </c>
      <c r="D4" s="27" t="s">
        <v>104</v>
      </c>
      <c r="E4" s="27" t="s">
        <v>101</v>
      </c>
      <c r="F4" s="27" t="s">
        <v>97</v>
      </c>
      <c r="G4" s="27" t="s">
        <v>0</v>
      </c>
      <c r="H4" s="28" t="s">
        <v>2</v>
      </c>
      <c r="I4" s="27" t="s">
        <v>109</v>
      </c>
      <c r="J4" s="27" t="s">
        <v>108</v>
      </c>
      <c r="K4" s="29" t="s">
        <v>99</v>
      </c>
      <c r="L4" s="27" t="s">
        <v>100</v>
      </c>
      <c r="M4" s="30" t="s">
        <v>107</v>
      </c>
    </row>
    <row r="5" spans="3:13">
      <c r="C5" s="23"/>
      <c r="D5" s="23"/>
      <c r="E5" s="23"/>
      <c r="F5" s="23"/>
      <c r="G5" s="23"/>
      <c r="H5" s="24"/>
      <c r="I5" s="23" t="s">
        <v>98</v>
      </c>
      <c r="J5" s="23" t="s">
        <v>108</v>
      </c>
      <c r="K5" s="25"/>
      <c r="L5" s="23"/>
      <c r="M5" s="26"/>
    </row>
    <row r="6" spans="3:13">
      <c r="C6" s="15">
        <f>IF(OR(E6="",F6="",H6=""),"",ROW(C1))</f>
        <v>1</v>
      </c>
      <c r="D6" s="20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0506241-VEN-003-LG-0001-1</v>
      </c>
      <c r="E6" s="21">
        <v>45448</v>
      </c>
      <c r="F6" s="15" t="s">
        <v>39</v>
      </c>
      <c r="G6" s="15" t="str">
        <f>IF(H6="","",INDEX('Product Item'!$D$6:$D$1000,MATCH('Purchase Order'!H6,'Product Item'!$G$6:$G$1000,0),0))</f>
        <v>LG-0001-1</v>
      </c>
      <c r="H6" s="15" t="s">
        <v>11</v>
      </c>
      <c r="I6" s="18">
        <v>10</v>
      </c>
      <c r="J6" s="18" t="str">
        <f>IF(H6="","","Pcs")</f>
        <v>Pcs</v>
      </c>
      <c r="K6" s="22">
        <v>2234000</v>
      </c>
      <c r="L6" s="22">
        <f>IF(OR(I6="",K6=""),"",I6*K6)</f>
        <v>22340000</v>
      </c>
      <c r="M6" s="15" t="s">
        <v>106</v>
      </c>
    </row>
    <row r="7" spans="3:13">
      <c r="C7" s="15">
        <f t="shared" ref="C7:C23" si="0">IF(OR(E7="",F7="",H7=""),"",ROW(C2))</f>
        <v>2</v>
      </c>
      <c r="D7" s="20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21">
        <v>45448</v>
      </c>
      <c r="F7" s="15" t="s">
        <v>37</v>
      </c>
      <c r="G7" s="15" t="str">
        <f>IF(H7="","",INDEX('Product Item'!$D$6:$D$1000,MATCH('Purchase Order'!H7,'Product Item'!$G$6:$G$1000,0),0))</f>
        <v>LG-0001-3</v>
      </c>
      <c r="H7" s="15" t="s">
        <v>13</v>
      </c>
      <c r="I7" s="19">
        <v>2</v>
      </c>
      <c r="J7" s="18" t="str">
        <f t="shared" ref="J7:J16" si="1">IF(H7="","","Pcs")</f>
        <v>Pcs</v>
      </c>
      <c r="K7" s="22">
        <v>43200000</v>
      </c>
      <c r="L7" s="22">
        <f t="shared" ref="L7:L23" si="2">IF(OR(I7="",K7=""),"",I7*K7)</f>
        <v>86400000</v>
      </c>
      <c r="M7" s="15" t="s">
        <v>106</v>
      </c>
    </row>
    <row r="8" spans="3:13">
      <c r="C8" s="15">
        <f t="shared" si="0"/>
        <v>3</v>
      </c>
      <c r="D8" s="20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21">
        <v>45448</v>
      </c>
      <c r="F8" s="15" t="s">
        <v>39</v>
      </c>
      <c r="G8" s="15" t="str">
        <f>IF(H8="","",INDEX('Product Item'!$D$6:$D$1000,MATCH('Purchase Order'!H8,'Product Item'!$G$6:$G$1000,0),0))</f>
        <v>LG-0001-3</v>
      </c>
      <c r="H8" s="15" t="s">
        <v>13</v>
      </c>
      <c r="I8" s="19">
        <v>1</v>
      </c>
      <c r="J8" s="18" t="str">
        <f t="shared" si="1"/>
        <v>Pcs</v>
      </c>
      <c r="K8" s="22">
        <v>43000000</v>
      </c>
      <c r="L8" s="22">
        <f t="shared" si="2"/>
        <v>43000000</v>
      </c>
      <c r="M8" s="15" t="s">
        <v>106</v>
      </c>
    </row>
    <row r="9" spans="3:13">
      <c r="C9" s="15">
        <f t="shared" si="0"/>
        <v>4</v>
      </c>
      <c r="D9" s="20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21">
        <v>45448</v>
      </c>
      <c r="F9" s="15" t="s">
        <v>38</v>
      </c>
      <c r="G9" s="15" t="str">
        <f>IF(H9="","",INDEX('Product Item'!$D$6:$D$1000,MATCH('Purchase Order'!H9,'Product Item'!$G$6:$G$1000,0),0))</f>
        <v>AP-0002-9</v>
      </c>
      <c r="H9" s="15" t="s">
        <v>32</v>
      </c>
      <c r="I9" s="19">
        <v>2</v>
      </c>
      <c r="J9" s="18" t="str">
        <f t="shared" si="1"/>
        <v>Pcs</v>
      </c>
      <c r="K9" s="22">
        <v>24252000</v>
      </c>
      <c r="L9" s="22">
        <f t="shared" si="2"/>
        <v>48504000</v>
      </c>
      <c r="M9" s="15" t="s">
        <v>106</v>
      </c>
    </row>
    <row r="10" spans="3:13">
      <c r="C10" s="15">
        <f t="shared" si="0"/>
        <v>5</v>
      </c>
      <c r="D10" s="20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21">
        <v>45448</v>
      </c>
      <c r="F10" s="15" t="s">
        <v>41</v>
      </c>
      <c r="G10" s="15" t="str">
        <f>IF(H10="","",INDEX('Product Item'!$D$6:$D$1000,MATCH('Purchase Order'!H10,'Product Item'!$G$6:$G$1000,0),0))</f>
        <v>LG-0005-4</v>
      </c>
      <c r="H10" s="15" t="s">
        <v>15</v>
      </c>
      <c r="I10" s="19">
        <v>10</v>
      </c>
      <c r="J10" s="18" t="str">
        <f t="shared" si="1"/>
        <v>Pcs</v>
      </c>
      <c r="K10" s="22">
        <v>1850000</v>
      </c>
      <c r="L10" s="22">
        <f t="shared" si="2"/>
        <v>18500000</v>
      </c>
      <c r="M10" s="15" t="s">
        <v>106</v>
      </c>
    </row>
    <row r="11" spans="3:13">
      <c r="C11" s="15">
        <f t="shared" si="0"/>
        <v>6</v>
      </c>
      <c r="D11" s="20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21">
        <v>45448</v>
      </c>
      <c r="F11" s="15" t="s">
        <v>44</v>
      </c>
      <c r="G11" s="15" t="str">
        <f>IF(H11="","",INDEX('Product Item'!$D$6:$D$1000,MATCH('Purchase Order'!H11,'Product Item'!$G$6:$G$1000,0),0))</f>
        <v>LG-0001-1</v>
      </c>
      <c r="H11" s="15" t="s">
        <v>11</v>
      </c>
      <c r="I11" s="19">
        <v>20</v>
      </c>
      <c r="J11" s="18" t="str">
        <f t="shared" si="1"/>
        <v>Pcs</v>
      </c>
      <c r="K11" s="22">
        <v>2125000</v>
      </c>
      <c r="L11" s="22">
        <f t="shared" si="2"/>
        <v>42500000</v>
      </c>
      <c r="M11" s="15" t="s">
        <v>106</v>
      </c>
    </row>
    <row r="12" spans="3:13">
      <c r="C12" s="15">
        <f t="shared" si="0"/>
        <v>7</v>
      </c>
      <c r="D12" s="20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21">
        <v>45449</v>
      </c>
      <c r="F12" s="15" t="s">
        <v>60</v>
      </c>
      <c r="G12" s="15" t="str">
        <f>IF(H12="","",INDEX('Product Item'!$D$6:$D$1000,MATCH('Purchase Order'!H12,'Product Item'!$G$6:$G$1000,0),0))</f>
        <v>LG-0005-4</v>
      </c>
      <c r="H12" s="15" t="s">
        <v>15</v>
      </c>
      <c r="I12" s="19">
        <v>5</v>
      </c>
      <c r="J12" s="18" t="str">
        <f t="shared" si="1"/>
        <v>Pcs</v>
      </c>
      <c r="K12" s="22">
        <v>1200000</v>
      </c>
      <c r="L12" s="22">
        <f t="shared" si="2"/>
        <v>6000000</v>
      </c>
      <c r="M12" s="15" t="s">
        <v>106</v>
      </c>
    </row>
    <row r="13" spans="3:13">
      <c r="C13" s="15">
        <f t="shared" si="0"/>
        <v>8</v>
      </c>
      <c r="D13" s="20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0606248-VEN-005-PH-0004-12</v>
      </c>
      <c r="E13" s="21">
        <v>45449</v>
      </c>
      <c r="F13" s="15" t="s">
        <v>41</v>
      </c>
      <c r="G13" s="15" t="str">
        <f>IF(H13="","",INDEX('Product Item'!$D$6:$D$1000,MATCH('Purchase Order'!H13,'Product Item'!$G$6:$G$1000,0),0))</f>
        <v>PH-0004-12</v>
      </c>
      <c r="H13" s="15" t="s">
        <v>36</v>
      </c>
      <c r="I13" s="19">
        <v>10</v>
      </c>
      <c r="J13" s="18" t="str">
        <f t="shared" si="1"/>
        <v>Pcs</v>
      </c>
      <c r="K13" s="22">
        <v>1125000</v>
      </c>
      <c r="L13" s="22">
        <f t="shared" si="2"/>
        <v>11250000</v>
      </c>
      <c r="M13" s="15" t="s">
        <v>106</v>
      </c>
    </row>
    <row r="14" spans="3:13">
      <c r="C14" s="15">
        <f t="shared" si="0"/>
        <v>9</v>
      </c>
      <c r="D14" s="20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21">
        <v>45450</v>
      </c>
      <c r="F14" s="15" t="s">
        <v>37</v>
      </c>
      <c r="G14" s="15" t="str">
        <f>IF(H14="","",INDEX('Product Item'!$D$6:$D$1000,MATCH('Purchase Order'!H14,'Product Item'!$G$6:$G$1000,0),0))</f>
        <v>LG-0001-3</v>
      </c>
      <c r="H14" s="15" t="s">
        <v>13</v>
      </c>
      <c r="I14" s="19">
        <v>6</v>
      </c>
      <c r="J14" s="18" t="str">
        <f t="shared" si="1"/>
        <v>Pcs</v>
      </c>
      <c r="K14" s="22">
        <v>43000000</v>
      </c>
      <c r="L14" s="22">
        <f t="shared" si="2"/>
        <v>258000000</v>
      </c>
      <c r="M14" s="15" t="s">
        <v>106</v>
      </c>
    </row>
    <row r="15" spans="3:13">
      <c r="C15" s="15">
        <f t="shared" si="0"/>
        <v>10</v>
      </c>
      <c r="D15" s="20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21">
        <v>45450</v>
      </c>
      <c r="F15" s="15" t="s">
        <v>41</v>
      </c>
      <c r="G15" s="15" t="str">
        <f>IF(H15="","",INDEX('Product Item'!$D$6:$D$1000,MATCH('Purchase Order'!H15,'Product Item'!$G$6:$G$1000,0),0))</f>
        <v>LG-0005-4</v>
      </c>
      <c r="H15" s="15" t="s">
        <v>15</v>
      </c>
      <c r="I15" s="19">
        <v>5</v>
      </c>
      <c r="J15" s="18" t="str">
        <f t="shared" si="1"/>
        <v>Pcs</v>
      </c>
      <c r="K15" s="22">
        <v>1820000</v>
      </c>
      <c r="L15" s="22">
        <f t="shared" si="2"/>
        <v>9100000</v>
      </c>
      <c r="M15" s="15" t="s">
        <v>106</v>
      </c>
    </row>
    <row r="16" spans="3:13">
      <c r="C16" s="15">
        <f t="shared" si="0"/>
        <v>11</v>
      </c>
      <c r="D16" s="20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21">
        <v>45451</v>
      </c>
      <c r="F16" s="15" t="s">
        <v>40</v>
      </c>
      <c r="G16" s="15" t="str">
        <f>IF(H16="","",INDEX('Product Item'!$D$6:$D$1000,MATCH('Purchase Order'!H16,'Product Item'!$G$6:$G$1000,0),0))</f>
        <v>SA-0002-5</v>
      </c>
      <c r="H16" s="15" t="s">
        <v>28</v>
      </c>
      <c r="I16" s="19">
        <v>2</v>
      </c>
      <c r="J16" s="18" t="str">
        <f t="shared" si="1"/>
        <v>Pcs</v>
      </c>
      <c r="K16" s="22">
        <v>23900000</v>
      </c>
      <c r="L16" s="22">
        <f t="shared" si="2"/>
        <v>47800000</v>
      </c>
      <c r="M16" s="15" t="s">
        <v>106</v>
      </c>
    </row>
    <row r="17" spans="3:13">
      <c r="C17" s="15">
        <f t="shared" si="0"/>
        <v>12</v>
      </c>
      <c r="D17" s="20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21">
        <v>45451</v>
      </c>
      <c r="F17" s="15" t="s">
        <v>39</v>
      </c>
      <c r="G17" s="15" t="str">
        <f>IF(H17="","",INDEX('Product Item'!$D$6:$D$1000,MATCH('Purchase Order'!H17,'Product Item'!$G$6:$G$1000,0),0))</f>
        <v>LG-0001-3</v>
      </c>
      <c r="H17" s="15" t="s">
        <v>13</v>
      </c>
      <c r="I17" s="19">
        <v>1</v>
      </c>
      <c r="J17" s="18" t="str">
        <f t="shared" ref="J17:J38" si="3">IF(H17="","","Pcs")</f>
        <v>Pcs</v>
      </c>
      <c r="K17" s="22">
        <v>40000000</v>
      </c>
      <c r="L17" s="22">
        <f t="shared" si="2"/>
        <v>40000000</v>
      </c>
      <c r="M17" s="15" t="s">
        <v>106</v>
      </c>
    </row>
    <row r="18" spans="3:13">
      <c r="C18" s="15">
        <f t="shared" si="0"/>
        <v>13</v>
      </c>
      <c r="D18" s="20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21">
        <v>45456</v>
      </c>
      <c r="F18" s="15" t="s">
        <v>37</v>
      </c>
      <c r="G18" s="15" t="str">
        <f>IF(H18="","",INDEX('Product Item'!$D$6:$D$1000,MATCH('Purchase Order'!H18,'Product Item'!$G$6:$G$1000,0),0))</f>
        <v>AS-0002-17</v>
      </c>
      <c r="H18" s="15" t="s">
        <v>142</v>
      </c>
      <c r="I18" s="19">
        <v>10</v>
      </c>
      <c r="J18" s="18" t="str">
        <f t="shared" si="3"/>
        <v>Pcs</v>
      </c>
      <c r="K18" s="22">
        <v>7500000</v>
      </c>
      <c r="L18" s="22">
        <f t="shared" si="2"/>
        <v>75000000</v>
      </c>
      <c r="M18" s="15" t="s">
        <v>106</v>
      </c>
    </row>
    <row r="19" spans="3:13">
      <c r="C19" s="15">
        <f t="shared" si="0"/>
        <v>14</v>
      </c>
      <c r="D19" s="20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21">
        <v>45459</v>
      </c>
      <c r="F19" s="15" t="s">
        <v>39</v>
      </c>
      <c r="G19" s="15" t="str">
        <f>IF(H19="","",INDEX('Product Item'!$D$6:$D$1000,MATCH('Purchase Order'!H19,'Product Item'!$G$6:$G$1000,0),0))</f>
        <v>SA-0001-22</v>
      </c>
      <c r="H19" s="15" t="s">
        <v>158</v>
      </c>
      <c r="I19" s="19">
        <v>5</v>
      </c>
      <c r="J19" s="18" t="str">
        <f t="shared" si="3"/>
        <v>Pcs</v>
      </c>
      <c r="K19" s="22">
        <v>8000000</v>
      </c>
      <c r="L19" s="22">
        <f t="shared" si="2"/>
        <v>40000000</v>
      </c>
      <c r="M19" s="15" t="s">
        <v>106</v>
      </c>
    </row>
    <row r="20" spans="3:13">
      <c r="C20" s="15">
        <f t="shared" si="0"/>
        <v>15</v>
      </c>
      <c r="D20" s="20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21">
        <v>45459</v>
      </c>
      <c r="F20" s="15" t="s">
        <v>41</v>
      </c>
      <c r="G20" s="15" t="str">
        <f>IF(H20="","",INDEX('Product Item'!$D$6:$D$1000,MATCH('Purchase Order'!H20,'Product Item'!$G$6:$G$1000,0),0))</f>
        <v>LG-0003-24</v>
      </c>
      <c r="H20" s="15" t="s">
        <v>160</v>
      </c>
      <c r="I20" s="19">
        <v>20</v>
      </c>
      <c r="J20" s="18" t="str">
        <f t="shared" si="3"/>
        <v>Pcs</v>
      </c>
      <c r="K20" s="22">
        <v>7000000</v>
      </c>
      <c r="L20" s="22">
        <f t="shared" si="2"/>
        <v>140000000</v>
      </c>
      <c r="M20" s="15" t="s">
        <v>106</v>
      </c>
    </row>
    <row r="21" spans="3:13">
      <c r="C21" s="15">
        <f t="shared" si="0"/>
        <v>16</v>
      </c>
      <c r="D21" s="20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16062416-VEN-007-PH-0004-17</v>
      </c>
      <c r="E21" s="21">
        <v>45459</v>
      </c>
      <c r="F21" s="15" t="s">
        <v>44</v>
      </c>
      <c r="G21" s="15" t="str">
        <f>IF(H21="","",INDEX('Product Item'!$D$6:$D$1000,MATCH('Purchase Order'!H21,'Product Item'!$G$6:$G$1000,0),0))</f>
        <v>PH-0004-17</v>
      </c>
      <c r="H21" s="15" t="s">
        <v>105</v>
      </c>
      <c r="I21" s="19">
        <v>30</v>
      </c>
      <c r="J21" s="18" t="str">
        <f t="shared" si="3"/>
        <v>Pcs</v>
      </c>
      <c r="K21" s="22">
        <v>321000</v>
      </c>
      <c r="L21" s="22">
        <f t="shared" si="2"/>
        <v>9630000</v>
      </c>
      <c r="M21" s="15" t="s">
        <v>106</v>
      </c>
    </row>
    <row r="22" spans="3:13">
      <c r="C22" s="15" t="str">
        <f t="shared" si="0"/>
        <v/>
      </c>
      <c r="D22" s="20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/>
      </c>
      <c r="E22" s="21"/>
      <c r="F22" s="15"/>
      <c r="G22" s="15" t="str">
        <f>IF(H22="","",INDEX('Product Item'!$D$6:$D$1000,MATCH('Purchase Order'!H22,'Product Item'!$G$6:$G$1000,0),0))</f>
        <v/>
      </c>
      <c r="H22" s="15"/>
      <c r="I22" s="19"/>
      <c r="J22" s="18" t="str">
        <f t="shared" si="3"/>
        <v/>
      </c>
      <c r="K22" s="22"/>
      <c r="L22" s="22" t="str">
        <f t="shared" si="2"/>
        <v/>
      </c>
      <c r="M22" s="15"/>
    </row>
    <row r="23" spans="3:13">
      <c r="C23" s="15" t="str">
        <f t="shared" si="0"/>
        <v/>
      </c>
      <c r="D23" s="20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/>
      </c>
      <c r="E23" s="21"/>
      <c r="F23" s="15"/>
      <c r="G23" s="15" t="str">
        <f>IF(H23="","",INDEX('Product Item'!$D$6:$D$1000,MATCH('Purchase Order'!H23,'Product Item'!$G$6:$G$1000,0),0))</f>
        <v/>
      </c>
      <c r="H23" s="15"/>
      <c r="I23" s="19"/>
      <c r="J23" s="18" t="str">
        <f t="shared" si="3"/>
        <v/>
      </c>
      <c r="K23" s="22"/>
      <c r="L23" s="22" t="str">
        <f t="shared" si="2"/>
        <v/>
      </c>
      <c r="M23" s="15"/>
    </row>
    <row r="24" spans="3:13">
      <c r="C24" s="15"/>
      <c r="D24" s="20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/>
      </c>
      <c r="E24" s="21"/>
      <c r="F24" s="15"/>
      <c r="G24" s="15" t="str">
        <f>IF(H24="","",INDEX('Product Item'!$D$6:$D$1000,MATCH('Purchase Order'!H24,'Product Item'!$G$6:$G$1000,0),0))</f>
        <v/>
      </c>
      <c r="H24" s="15"/>
      <c r="I24" s="19"/>
      <c r="J24" s="18" t="str">
        <f t="shared" si="3"/>
        <v/>
      </c>
      <c r="K24" s="22"/>
      <c r="L24" s="22" t="str">
        <f t="shared" ref="L24:L25" si="4">IF(AND(I24="",K24=""),"",I24*K24)</f>
        <v/>
      </c>
      <c r="M24" s="15"/>
    </row>
    <row r="25" spans="3:13">
      <c r="C25" s="15"/>
      <c r="D25" s="20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/>
      </c>
      <c r="E25" s="21"/>
      <c r="F25" s="15"/>
      <c r="G25" s="15" t="str">
        <f>IF(H25="","",INDEX('Product Item'!$D$6:$D$1000,MATCH('Purchase Order'!H25,'Product Item'!$G$6:$G$1000,0),0))</f>
        <v/>
      </c>
      <c r="H25" s="15"/>
      <c r="I25" s="15"/>
      <c r="J25" s="18" t="str">
        <f t="shared" si="3"/>
        <v/>
      </c>
      <c r="K25" s="22"/>
      <c r="L25" s="22" t="str">
        <f t="shared" si="4"/>
        <v/>
      </c>
      <c r="M25" s="15"/>
    </row>
    <row r="26" spans="3:13">
      <c r="C26" s="15"/>
      <c r="D26" s="20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21"/>
      <c r="F26" s="15"/>
      <c r="G26" s="15" t="str">
        <f>IF(H26="","",INDEX('Product Item'!$D$6:$D$1000,MATCH('Purchase Order'!H26,'Product Item'!$G$6:$G$1000,0),0))</f>
        <v/>
      </c>
      <c r="H26" s="15"/>
      <c r="I26" s="15"/>
      <c r="J26" s="18" t="str">
        <f t="shared" si="3"/>
        <v/>
      </c>
      <c r="K26" s="22"/>
      <c r="L26" s="15"/>
      <c r="M26" s="15"/>
    </row>
    <row r="27" spans="3:13">
      <c r="C27" s="15"/>
      <c r="D27" s="20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21"/>
      <c r="F27" s="15"/>
      <c r="G27" s="15" t="str">
        <f>IF(H27="","",INDEX('Product Item'!$D$6:$D$1000,MATCH('Purchase Order'!H27,'Product Item'!$G$6:$G$1000,0),0))</f>
        <v/>
      </c>
      <c r="H27" s="15"/>
      <c r="I27" s="15"/>
      <c r="J27" s="18" t="str">
        <f t="shared" si="3"/>
        <v/>
      </c>
      <c r="K27" s="22"/>
      <c r="L27" s="15"/>
      <c r="M27" s="15"/>
    </row>
    <row r="28" spans="3:13">
      <c r="C28" s="15"/>
      <c r="D28" s="20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21"/>
      <c r="F28" s="15"/>
      <c r="G28" s="15" t="str">
        <f>IF(H28="","",INDEX('Product Item'!$D$6:$D$1000,MATCH('Purchase Order'!H28,'Product Item'!$G$6:$G$1000,0),0))</f>
        <v/>
      </c>
      <c r="H28" s="15"/>
      <c r="I28" s="15"/>
      <c r="J28" s="18" t="str">
        <f t="shared" si="3"/>
        <v/>
      </c>
      <c r="K28" s="22"/>
      <c r="L28" s="15"/>
      <c r="M28" s="15"/>
    </row>
    <row r="29" spans="3:13">
      <c r="C29" s="15"/>
      <c r="D29" s="20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21"/>
      <c r="F29" s="15"/>
      <c r="G29" s="15" t="str">
        <f>IF(H29="","",INDEX('Product Item'!$D$6:$D$1000,MATCH('Purchase Order'!H29,'Product Item'!$G$6:$G$1000,0),0))</f>
        <v/>
      </c>
      <c r="H29" s="15"/>
      <c r="I29" s="15"/>
      <c r="J29" s="18" t="str">
        <f t="shared" si="3"/>
        <v/>
      </c>
      <c r="K29" s="22"/>
      <c r="L29" s="15"/>
      <c r="M29" s="15"/>
    </row>
    <row r="30" spans="3:13">
      <c r="C30" s="15"/>
      <c r="D30" s="20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21"/>
      <c r="F30" s="15"/>
      <c r="G30" s="15" t="str">
        <f>IF(H30="","",INDEX('Product Item'!$D$6:$D$1000,MATCH('Purchase Order'!H30,'Product Item'!$G$6:$G$1000,0),0))</f>
        <v/>
      </c>
      <c r="H30" s="15"/>
      <c r="I30" s="15"/>
      <c r="J30" s="18" t="str">
        <f t="shared" si="3"/>
        <v/>
      </c>
      <c r="K30" s="22"/>
      <c r="L30" s="15"/>
      <c r="M30" s="15"/>
    </row>
    <row r="31" spans="3:13">
      <c r="C31" s="15"/>
      <c r="D31" s="20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21"/>
      <c r="F31" s="15"/>
      <c r="G31" s="15" t="str">
        <f>IF(H31="","",INDEX('Product Item'!$D$6:$D$1000,MATCH('Purchase Order'!H31,'Product Item'!$G$6:$G$1000,0),0))</f>
        <v/>
      </c>
      <c r="H31" s="15"/>
      <c r="I31" s="15"/>
      <c r="J31" s="18" t="str">
        <f t="shared" si="3"/>
        <v/>
      </c>
      <c r="K31" s="22"/>
      <c r="L31" s="15"/>
      <c r="M31" s="15"/>
    </row>
    <row r="32" spans="3:13">
      <c r="C32" s="15"/>
      <c r="D32" s="20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21"/>
      <c r="F32" s="15"/>
      <c r="G32" s="15" t="str">
        <f>IF(H32="","",INDEX('Product Item'!$D$6:$D$1000,MATCH('Purchase Order'!H32,'Product Item'!$G$6:$G$1000,0),0))</f>
        <v/>
      </c>
      <c r="H32" s="15"/>
      <c r="I32" s="15"/>
      <c r="J32" s="18" t="str">
        <f t="shared" si="3"/>
        <v/>
      </c>
      <c r="K32" s="22"/>
      <c r="L32" s="15"/>
      <c r="M32" s="15"/>
    </row>
    <row r="33" spans="3:13">
      <c r="C33" s="15"/>
      <c r="D33" s="20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21"/>
      <c r="F33" s="15"/>
      <c r="G33" s="15" t="str">
        <f>IF(H33="","",INDEX('Product Item'!$D$6:$D$1000,MATCH('Purchase Order'!H33,'Product Item'!$G$6:$G$1000,0),0))</f>
        <v/>
      </c>
      <c r="H33" s="15"/>
      <c r="I33" s="15"/>
      <c r="J33" s="18" t="str">
        <f t="shared" si="3"/>
        <v/>
      </c>
      <c r="K33" s="22"/>
      <c r="L33" s="15"/>
      <c r="M33" s="15"/>
    </row>
    <row r="34" spans="3:13">
      <c r="C34" s="15"/>
      <c r="D34" s="20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21"/>
      <c r="F34" s="15"/>
      <c r="G34" s="15" t="str">
        <f>IF(H34="","",INDEX('Product Item'!$D$6:$D$1000,MATCH('Purchase Order'!H34,'Product Item'!$G$6:$G$1000,0),0))</f>
        <v/>
      </c>
      <c r="H34" s="15"/>
      <c r="I34" s="15"/>
      <c r="J34" s="18" t="str">
        <f t="shared" si="3"/>
        <v/>
      </c>
      <c r="K34" s="22"/>
      <c r="L34" s="15"/>
      <c r="M34" s="15"/>
    </row>
    <row r="35" spans="3:13">
      <c r="C35" s="15"/>
      <c r="D35" s="20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21"/>
      <c r="F35" s="15"/>
      <c r="G35" s="15" t="str">
        <f>IF(H35="","",INDEX('Product Item'!$D$6:$D$1000,MATCH('Purchase Order'!H35,'Product Item'!$G$6:$G$1000,0),0))</f>
        <v/>
      </c>
      <c r="H35" s="15"/>
      <c r="I35" s="15"/>
      <c r="J35" s="18" t="str">
        <f t="shared" si="3"/>
        <v/>
      </c>
      <c r="K35" s="22"/>
      <c r="L35" s="15"/>
      <c r="M35" s="15"/>
    </row>
    <row r="36" spans="3:13">
      <c r="C36" s="15"/>
      <c r="D36" s="20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21"/>
      <c r="F36" s="15"/>
      <c r="G36" s="15" t="str">
        <f>IF(H36="","",INDEX('Product Item'!$D$6:$D$1000,MATCH('Purchase Order'!H36,'Product Item'!$G$6:$G$1000,0),0))</f>
        <v/>
      </c>
      <c r="H36" s="15"/>
      <c r="I36" s="15"/>
      <c r="J36" s="18" t="str">
        <f t="shared" si="3"/>
        <v/>
      </c>
      <c r="K36" s="22"/>
      <c r="L36" s="15"/>
      <c r="M36" s="15"/>
    </row>
    <row r="37" spans="3:13">
      <c r="C37" s="15"/>
      <c r="D37" s="20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21"/>
      <c r="F37" s="15"/>
      <c r="G37" s="15" t="str">
        <f>IF(H37="","",INDEX('Product Item'!$D$6:$D$1000,MATCH('Purchase Order'!H37,'Product Item'!$G$6:$G$1000,0),0))</f>
        <v/>
      </c>
      <c r="H37" s="15"/>
      <c r="I37" s="15"/>
      <c r="J37" s="18" t="str">
        <f t="shared" si="3"/>
        <v/>
      </c>
      <c r="K37" s="22"/>
      <c r="L37" s="15"/>
      <c r="M37" s="15"/>
    </row>
    <row r="38" spans="3:13">
      <c r="C38" s="15"/>
      <c r="D38" s="20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21"/>
      <c r="F38" s="15"/>
      <c r="G38" s="15" t="str">
        <f>IF(H38="","",INDEX('Product Item'!$D$6:$D$1000,MATCH('Purchase Order'!H38,'Product Item'!$G$6:$G$1000,0),0))</f>
        <v/>
      </c>
      <c r="H38" s="15"/>
      <c r="I38" s="15"/>
      <c r="J38" s="18" t="str">
        <f t="shared" si="3"/>
        <v/>
      </c>
      <c r="K38" s="22"/>
      <c r="L38" s="15"/>
      <c r="M38" s="15"/>
    </row>
    <row r="39" spans="3:13">
      <c r="C39" s="15"/>
      <c r="D39" s="20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21"/>
      <c r="F39" s="15"/>
      <c r="G39" s="15"/>
      <c r="H39" s="15"/>
      <c r="I39" s="15"/>
      <c r="J39" s="18"/>
      <c r="K39" s="22"/>
      <c r="L39" s="15"/>
      <c r="M39" s="15"/>
    </row>
    <row r="40" spans="3:13">
      <c r="C40" s="15"/>
      <c r="D40" s="20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21"/>
      <c r="F40" s="15"/>
      <c r="G40" s="15"/>
      <c r="H40" s="15"/>
      <c r="I40" s="15"/>
      <c r="J40" s="18"/>
      <c r="K40" s="22"/>
      <c r="L40" s="15"/>
      <c r="M40" s="15"/>
    </row>
    <row r="41" spans="3:13">
      <c r="C41" s="15"/>
      <c r="D41" s="20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21"/>
      <c r="F41" s="15"/>
      <c r="G41" s="15"/>
      <c r="H41" s="15"/>
      <c r="I41" s="15"/>
      <c r="J41" s="18"/>
      <c r="K41" s="22"/>
      <c r="L41" s="15"/>
      <c r="M41" s="15"/>
    </row>
    <row r="42" spans="3:13">
      <c r="C42" s="15"/>
      <c r="D42" s="20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21"/>
      <c r="F42" s="15"/>
      <c r="G42" s="15"/>
      <c r="H42" s="15"/>
      <c r="I42" s="15"/>
      <c r="J42" s="18"/>
      <c r="K42" s="22"/>
      <c r="L42" s="15"/>
      <c r="M42" s="15"/>
    </row>
    <row r="43" spans="3:13">
      <c r="C43" s="15"/>
      <c r="D43" s="20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21"/>
      <c r="F43" s="15"/>
      <c r="G43" s="15"/>
      <c r="H43" s="15"/>
      <c r="I43" s="15"/>
      <c r="J43" s="18"/>
      <c r="K43" s="22"/>
      <c r="L43" s="15"/>
      <c r="M43" s="15"/>
    </row>
    <row r="44" spans="3:13">
      <c r="C44" s="15"/>
      <c r="D44" s="20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21"/>
      <c r="F44" s="15"/>
      <c r="G44" s="15"/>
      <c r="H44" s="15"/>
      <c r="I44" s="15"/>
      <c r="J44" s="18"/>
      <c r="K44" s="22"/>
      <c r="L44" s="15"/>
      <c r="M44" s="15"/>
    </row>
    <row r="45" spans="3:13">
      <c r="C45" s="15"/>
      <c r="D45" s="20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21"/>
      <c r="F45" s="15"/>
      <c r="G45" s="15"/>
      <c r="H45" s="15"/>
      <c r="I45" s="15"/>
      <c r="J45" s="18"/>
      <c r="K45" s="22"/>
      <c r="L45" s="15"/>
      <c r="M45" s="15"/>
    </row>
    <row r="46" spans="3:13">
      <c r="C46" s="15"/>
      <c r="D46" s="20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21"/>
      <c r="F46" s="15"/>
      <c r="G46" s="15"/>
      <c r="H46" s="15"/>
      <c r="I46" s="15"/>
      <c r="J46" s="18"/>
      <c r="K46" s="22"/>
      <c r="L46" s="15"/>
      <c r="M46" s="15"/>
    </row>
    <row r="47" spans="3:13">
      <c r="C47" s="15"/>
      <c r="D47" s="20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21"/>
      <c r="F47" s="15"/>
      <c r="G47" s="15"/>
      <c r="H47" s="15"/>
      <c r="I47" s="15"/>
      <c r="J47" s="18"/>
      <c r="K47" s="22"/>
      <c r="L47" s="15"/>
      <c r="M47" s="15"/>
    </row>
    <row r="48" spans="3:13">
      <c r="C48" s="15"/>
      <c r="D48" s="20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21"/>
      <c r="F48" s="15"/>
      <c r="G48" s="15"/>
      <c r="H48" s="15"/>
      <c r="I48" s="15"/>
      <c r="J48" s="18"/>
      <c r="K48" s="22"/>
      <c r="L48" s="15"/>
      <c r="M48" s="15"/>
    </row>
    <row r="49" spans="3:13">
      <c r="C49" s="15"/>
      <c r="D49" s="20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21"/>
      <c r="F49" s="15"/>
      <c r="G49" s="15"/>
      <c r="H49" s="15"/>
      <c r="I49" s="15"/>
      <c r="J49" s="18"/>
      <c r="K49" s="22"/>
      <c r="L49" s="15"/>
      <c r="M49" s="15"/>
    </row>
    <row r="50" spans="3:13">
      <c r="C50" s="15"/>
      <c r="D50" s="20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21"/>
      <c r="F50" s="15"/>
      <c r="G50" s="15"/>
      <c r="H50" s="15"/>
      <c r="I50" s="15"/>
      <c r="J50" s="18"/>
      <c r="K50" s="22"/>
      <c r="L50" s="15"/>
      <c r="M50" s="15"/>
    </row>
    <row r="51" spans="3:13">
      <c r="C51" s="15"/>
      <c r="D51" s="20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21"/>
      <c r="F51" s="15"/>
      <c r="G51" s="15"/>
      <c r="H51" s="15"/>
      <c r="I51" s="15"/>
      <c r="J51" s="18"/>
      <c r="K51" s="22"/>
      <c r="L51" s="15"/>
      <c r="M51" s="15"/>
    </row>
    <row r="52" spans="3:13">
      <c r="C52" s="15"/>
      <c r="D52" s="20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21"/>
      <c r="F52" s="15"/>
      <c r="G52" s="15"/>
      <c r="H52" s="15"/>
      <c r="I52" s="15"/>
      <c r="J52" s="18"/>
      <c r="K52" s="22"/>
      <c r="L52" s="15"/>
      <c r="M52" s="15"/>
    </row>
    <row r="53" spans="3:13">
      <c r="C53" s="15"/>
      <c r="D53" s="20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21"/>
      <c r="F53" s="15"/>
      <c r="G53" s="15"/>
      <c r="H53" s="15"/>
      <c r="I53" s="15"/>
      <c r="J53" s="18"/>
      <c r="K53" s="22"/>
      <c r="L53" s="15"/>
      <c r="M53" s="15"/>
    </row>
    <row r="54" spans="3:13">
      <c r="C54" s="15"/>
      <c r="D54" s="20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21"/>
      <c r="F54" s="15"/>
      <c r="G54" s="15"/>
      <c r="H54" s="15"/>
      <c r="I54" s="15"/>
      <c r="J54" s="18"/>
      <c r="K54" s="22"/>
      <c r="L54" s="15"/>
      <c r="M54" s="15"/>
    </row>
    <row r="55" spans="3:13">
      <c r="C55" s="15"/>
      <c r="D55" s="20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21"/>
      <c r="F55" s="15"/>
      <c r="G55" s="15"/>
      <c r="H55" s="15"/>
      <c r="I55" s="15"/>
      <c r="J55" s="18"/>
      <c r="K55" s="22"/>
      <c r="L55" s="15"/>
      <c r="M55" s="15"/>
    </row>
    <row r="56" spans="3:13">
      <c r="C56" s="15"/>
      <c r="D56" s="20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21"/>
      <c r="F56" s="15"/>
      <c r="G56" s="15"/>
      <c r="H56" s="15"/>
      <c r="I56" s="15"/>
      <c r="J56" s="18"/>
      <c r="K56" s="22"/>
      <c r="L56" s="15"/>
      <c r="M56" s="15"/>
    </row>
    <row r="57" spans="3:13">
      <c r="C57" s="15"/>
      <c r="D57" s="20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21"/>
      <c r="F57" s="15"/>
      <c r="G57" s="15"/>
      <c r="H57" s="15"/>
      <c r="I57" s="15"/>
      <c r="J57" s="18"/>
      <c r="K57" s="22"/>
      <c r="L57" s="15"/>
      <c r="M57" s="15"/>
    </row>
    <row r="58" spans="3:13">
      <c r="C58" s="15"/>
      <c r="D58" s="20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21"/>
      <c r="F58" s="15"/>
      <c r="G58" s="15"/>
      <c r="H58" s="15"/>
      <c r="I58" s="15"/>
      <c r="J58" s="18"/>
      <c r="K58" s="22"/>
      <c r="L58" s="15"/>
      <c r="M58" s="15"/>
    </row>
    <row r="59" spans="3:13">
      <c r="C59" s="15"/>
      <c r="D59" s="20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21"/>
      <c r="F59" s="15"/>
      <c r="G59" s="15"/>
      <c r="H59" s="15"/>
      <c r="I59" s="15"/>
      <c r="J59" s="18"/>
      <c r="K59" s="22"/>
      <c r="L59" s="15"/>
      <c r="M59" s="15"/>
    </row>
    <row r="60" spans="3:13">
      <c r="C60" s="15"/>
      <c r="D60" s="20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21"/>
      <c r="F60" s="15"/>
      <c r="G60" s="15"/>
      <c r="H60" s="15"/>
      <c r="I60" s="15"/>
      <c r="J60" s="18"/>
      <c r="K60" s="22"/>
      <c r="L60" s="15"/>
      <c r="M60" s="15"/>
    </row>
    <row r="61" spans="3:13">
      <c r="C61" s="15"/>
      <c r="D61" s="20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21"/>
      <c r="F61" s="15"/>
      <c r="G61" s="15"/>
      <c r="H61" s="15"/>
      <c r="I61" s="15"/>
      <c r="J61" s="18"/>
      <c r="K61" s="22"/>
      <c r="L61" s="15"/>
      <c r="M61" s="15"/>
    </row>
    <row r="62" spans="3:13">
      <c r="C62" s="15"/>
      <c r="D62" s="20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21"/>
      <c r="F62" s="15"/>
      <c r="G62" s="15"/>
      <c r="H62" s="15"/>
      <c r="I62" s="15"/>
      <c r="J62" s="18"/>
      <c r="K62" s="22"/>
      <c r="L62" s="15"/>
      <c r="M62" s="15"/>
    </row>
    <row r="63" spans="3:13">
      <c r="C63" s="15"/>
      <c r="D63" s="20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21"/>
      <c r="F63" s="15"/>
      <c r="G63" s="15"/>
      <c r="H63" s="15"/>
      <c r="I63" s="15"/>
      <c r="J63" s="18"/>
      <c r="K63" s="22"/>
      <c r="L63" s="15"/>
      <c r="M63" s="15"/>
    </row>
    <row r="64" spans="3:13">
      <c r="C64" s="15"/>
      <c r="D64" s="20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21"/>
      <c r="F64" s="15"/>
      <c r="G64" s="15"/>
      <c r="H64" s="15"/>
      <c r="I64" s="15"/>
      <c r="J64" s="18"/>
      <c r="K64" s="22"/>
      <c r="L64" s="15"/>
      <c r="M64" s="15"/>
    </row>
    <row r="65" spans="3:13">
      <c r="C65" s="15"/>
      <c r="D65" s="20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21"/>
      <c r="F65" s="15"/>
      <c r="G65" s="15"/>
      <c r="H65" s="15"/>
      <c r="I65" s="15"/>
      <c r="J65" s="18"/>
      <c r="K65" s="22"/>
      <c r="L65" s="15"/>
      <c r="M65" s="15"/>
    </row>
    <row r="66" spans="3:13">
      <c r="C66" s="15"/>
      <c r="D66" s="20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21"/>
      <c r="F66" s="15"/>
      <c r="G66" s="15"/>
      <c r="H66" s="15"/>
      <c r="I66" s="15"/>
      <c r="J66" s="18"/>
      <c r="K66" s="22"/>
      <c r="L66" s="15"/>
      <c r="M66" s="15"/>
    </row>
    <row r="67" spans="3:13">
      <c r="C67" s="15"/>
      <c r="D67" s="20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21"/>
      <c r="F67" s="15"/>
      <c r="G67" s="15"/>
      <c r="H67" s="15"/>
      <c r="I67" s="15"/>
      <c r="J67" s="18"/>
      <c r="K67" s="22"/>
      <c r="L67" s="15"/>
      <c r="M67" s="15"/>
    </row>
    <row r="68" spans="3:13">
      <c r="C68" s="15"/>
      <c r="D68" s="20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21"/>
      <c r="F68" s="15"/>
      <c r="G68" s="15"/>
      <c r="H68" s="15"/>
      <c r="I68" s="15"/>
      <c r="J68" s="18"/>
      <c r="K68" s="22"/>
      <c r="L68" s="15"/>
      <c r="M68" s="15"/>
    </row>
    <row r="69" spans="3:13">
      <c r="C69" s="15"/>
      <c r="D69" s="20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21"/>
      <c r="F69" s="15"/>
      <c r="G69" s="15"/>
      <c r="H69" s="15"/>
      <c r="I69" s="15"/>
      <c r="J69" s="18"/>
      <c r="K69" s="22"/>
      <c r="L69" s="15"/>
      <c r="M69" s="15"/>
    </row>
    <row r="70" spans="3:13">
      <c r="C70" s="15"/>
      <c r="D70" s="20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21"/>
      <c r="F70" s="15"/>
      <c r="G70" s="15"/>
      <c r="H70" s="15"/>
      <c r="I70" s="15"/>
      <c r="J70" s="18"/>
      <c r="K70" s="22"/>
      <c r="L70" s="15"/>
      <c r="M70" s="15"/>
    </row>
    <row r="71" spans="3:13">
      <c r="C71" s="15"/>
      <c r="D71" s="20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21"/>
      <c r="F71" s="15"/>
      <c r="G71" s="15"/>
      <c r="H71" s="15"/>
      <c r="I71" s="15"/>
      <c r="J71" s="18"/>
      <c r="K71" s="22"/>
      <c r="L71" s="15"/>
      <c r="M71" s="15"/>
    </row>
    <row r="72" spans="3:13">
      <c r="C72" s="15"/>
      <c r="D72" s="20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21"/>
      <c r="F72" s="15"/>
      <c r="G72" s="15"/>
      <c r="H72" s="15"/>
      <c r="I72" s="15"/>
      <c r="J72" s="18"/>
      <c r="K72" s="22"/>
      <c r="L72" s="15"/>
      <c r="M72" s="15"/>
    </row>
    <row r="73" spans="3:13">
      <c r="C73" s="15"/>
      <c r="D73" s="20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21"/>
      <c r="F73" s="15"/>
      <c r="G73" s="15"/>
      <c r="H73" s="15"/>
      <c r="I73" s="15"/>
      <c r="J73" s="18"/>
      <c r="K73" s="22"/>
      <c r="L73" s="15"/>
      <c r="M73" s="15"/>
    </row>
    <row r="74" spans="3:13">
      <c r="C74" s="15"/>
      <c r="D74" s="20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21"/>
      <c r="F74" s="15"/>
      <c r="G74" s="15"/>
      <c r="H74" s="15"/>
      <c r="I74" s="15"/>
      <c r="J74" s="18"/>
      <c r="K74" s="22"/>
      <c r="L74" s="15"/>
      <c r="M74" s="15"/>
    </row>
    <row r="75" spans="3:13">
      <c r="C75" s="15"/>
      <c r="D75" s="20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21"/>
      <c r="F75" s="15"/>
      <c r="G75" s="15"/>
      <c r="H75" s="15"/>
      <c r="I75" s="15"/>
      <c r="J75" s="18"/>
      <c r="K75" s="22"/>
      <c r="L75" s="15"/>
      <c r="M75" s="15"/>
    </row>
    <row r="76" spans="3:13">
      <c r="C76" s="15"/>
      <c r="D76" s="20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21"/>
      <c r="F76" s="15"/>
      <c r="G76" s="15"/>
      <c r="H76" s="15"/>
      <c r="I76" s="15"/>
      <c r="J76" s="18"/>
      <c r="K76" s="22"/>
      <c r="L76" s="15"/>
      <c r="M76" s="15"/>
    </row>
    <row r="77" spans="3:13">
      <c r="C77" s="15"/>
      <c r="D77" s="20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21"/>
      <c r="F77" s="15"/>
      <c r="G77" s="15"/>
      <c r="H77" s="15"/>
      <c r="I77" s="15"/>
      <c r="J77" s="18"/>
      <c r="K77" s="22"/>
      <c r="L77" s="15"/>
      <c r="M77" s="15"/>
    </row>
    <row r="78" spans="3:13">
      <c r="C78" s="15"/>
      <c r="D78" s="20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21"/>
      <c r="F78" s="15"/>
      <c r="G78" s="15"/>
      <c r="H78" s="15"/>
      <c r="I78" s="15"/>
      <c r="J78" s="18"/>
      <c r="K78" s="22"/>
      <c r="L78" s="15"/>
      <c r="M78" s="15"/>
    </row>
    <row r="79" spans="3:13">
      <c r="C79" s="15"/>
      <c r="D79" s="20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21"/>
      <c r="F79" s="15"/>
      <c r="G79" s="15"/>
      <c r="H79" s="15"/>
      <c r="I79" s="15"/>
      <c r="J79" s="18"/>
      <c r="K79" s="22"/>
      <c r="L79" s="15"/>
      <c r="M79" s="15"/>
    </row>
    <row r="80" spans="3:13">
      <c r="C80" s="15"/>
      <c r="D80" s="20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21"/>
      <c r="F80" s="15"/>
      <c r="G80" s="15"/>
      <c r="H80" s="15"/>
      <c r="I80" s="15"/>
      <c r="J80" s="18"/>
      <c r="K80" s="22"/>
      <c r="L80" s="15"/>
      <c r="M80" s="15"/>
    </row>
    <row r="81" spans="3:13">
      <c r="C81" s="15"/>
      <c r="D81" s="20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21"/>
      <c r="F81" s="15"/>
      <c r="G81" s="15"/>
      <c r="H81" s="15"/>
      <c r="I81" s="15"/>
      <c r="J81" s="18"/>
      <c r="K81" s="22"/>
      <c r="L81" s="15"/>
      <c r="M81" s="15"/>
    </row>
    <row r="82" spans="3:13">
      <c r="C82" s="15"/>
      <c r="D82" s="20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21"/>
      <c r="F82" s="15"/>
      <c r="G82" s="15"/>
      <c r="H82" s="15"/>
      <c r="I82" s="15"/>
      <c r="J82" s="18"/>
      <c r="K82" s="22"/>
      <c r="L82" s="15"/>
      <c r="M82" s="15"/>
    </row>
    <row r="83" spans="3:13">
      <c r="C83" s="15"/>
      <c r="D83" s="20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21"/>
      <c r="F83" s="15"/>
      <c r="G83" s="15"/>
      <c r="H83" s="15"/>
      <c r="I83" s="15"/>
      <c r="J83" s="18"/>
      <c r="K83" s="22"/>
      <c r="L83" s="15"/>
      <c r="M83" s="15"/>
    </row>
    <row r="84" spans="3:13">
      <c r="C84" s="15"/>
      <c r="D84" s="20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21"/>
      <c r="F84" s="15"/>
      <c r="G84" s="15"/>
      <c r="H84" s="15"/>
      <c r="I84" s="15"/>
      <c r="J84" s="18"/>
      <c r="K84" s="22"/>
      <c r="L84" s="15"/>
      <c r="M84" s="15"/>
    </row>
    <row r="85" spans="3:13">
      <c r="C85" s="15"/>
      <c r="D85" s="20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21"/>
      <c r="F85" s="15"/>
      <c r="G85" s="15"/>
      <c r="H85" s="15"/>
      <c r="I85" s="15"/>
      <c r="J85" s="18"/>
      <c r="K85" s="22"/>
      <c r="L85" s="15"/>
      <c r="M85" s="15"/>
    </row>
    <row r="86" spans="3:13">
      <c r="C86" s="15"/>
      <c r="D86" s="20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21"/>
      <c r="F86" s="15"/>
      <c r="G86" s="15"/>
      <c r="H86" s="15"/>
      <c r="I86" s="15"/>
      <c r="J86" s="18"/>
      <c r="K86" s="22"/>
      <c r="L86" s="15"/>
      <c r="M86" s="15"/>
    </row>
    <row r="87" spans="3:13">
      <c r="C87" s="15"/>
      <c r="D87" s="20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21"/>
      <c r="F87" s="15"/>
      <c r="G87" s="15"/>
      <c r="H87" s="15"/>
      <c r="I87" s="15"/>
      <c r="J87" s="18"/>
      <c r="K87" s="22"/>
      <c r="L87" s="15"/>
      <c r="M87" s="15"/>
    </row>
    <row r="88" spans="3:13">
      <c r="C88" s="15"/>
      <c r="D88" s="20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21"/>
      <c r="F88" s="15"/>
      <c r="G88" s="15"/>
      <c r="H88" s="15"/>
      <c r="I88" s="15"/>
      <c r="J88" s="18"/>
      <c r="K88" s="22"/>
      <c r="L88" s="15"/>
      <c r="M88" s="15"/>
    </row>
    <row r="89" spans="3:13">
      <c r="C89" s="15"/>
      <c r="D89" s="20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21"/>
      <c r="F89" s="15"/>
      <c r="G89" s="15"/>
      <c r="H89" s="15"/>
      <c r="I89" s="15"/>
      <c r="J89" s="18"/>
      <c r="K89" s="22"/>
      <c r="L89" s="15"/>
      <c r="M89" s="15"/>
    </row>
    <row r="90" spans="3:13">
      <c r="C90" s="15"/>
      <c r="D90" s="20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21"/>
      <c r="F90" s="15"/>
      <c r="G90" s="15"/>
      <c r="H90" s="15"/>
      <c r="I90" s="15"/>
      <c r="J90" s="18"/>
      <c r="K90" s="22"/>
      <c r="L90" s="15"/>
      <c r="M90" s="15"/>
    </row>
    <row r="91" spans="3:13">
      <c r="C91" s="15"/>
      <c r="D91" s="20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21"/>
      <c r="F91" s="15"/>
      <c r="G91" s="15"/>
      <c r="H91" s="15"/>
      <c r="I91" s="15"/>
      <c r="J91" s="18"/>
      <c r="K91" s="22"/>
      <c r="L91" s="15"/>
      <c r="M91" s="15"/>
    </row>
    <row r="92" spans="3:13">
      <c r="C92" s="15"/>
      <c r="D92" s="20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21"/>
      <c r="F92" s="15"/>
      <c r="G92" s="15"/>
      <c r="H92" s="15"/>
      <c r="I92" s="15"/>
      <c r="J92" s="18"/>
      <c r="K92" s="22"/>
      <c r="L92" s="15"/>
      <c r="M92" s="15"/>
    </row>
    <row r="93" spans="3:13">
      <c r="C93" s="15"/>
      <c r="D93" s="20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21"/>
      <c r="F93" s="15"/>
      <c r="G93" s="15"/>
      <c r="H93" s="15"/>
      <c r="I93" s="15"/>
      <c r="J93" s="18"/>
      <c r="K93" s="22"/>
      <c r="L93" s="15"/>
      <c r="M93" s="15"/>
    </row>
    <row r="94" spans="3:13">
      <c r="C94" s="15"/>
      <c r="D94" s="20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21"/>
      <c r="F94" s="15"/>
      <c r="G94" s="15"/>
      <c r="H94" s="15"/>
      <c r="I94" s="15"/>
      <c r="J94" s="18"/>
      <c r="K94" s="22"/>
      <c r="L94" s="15"/>
      <c r="M94" s="15"/>
    </row>
    <row r="95" spans="3:13">
      <c r="C95" s="15"/>
      <c r="D95" s="20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21"/>
      <c r="F95" s="15"/>
      <c r="G95" s="15"/>
      <c r="H95" s="15"/>
      <c r="I95" s="15"/>
      <c r="J95" s="18"/>
      <c r="K95" s="22"/>
      <c r="L95" s="15"/>
      <c r="M95" s="15"/>
    </row>
    <row r="96" spans="3:13">
      <c r="C96" s="15"/>
      <c r="D96" s="20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21"/>
      <c r="F96" s="15"/>
      <c r="G96" s="15"/>
      <c r="H96" s="15"/>
      <c r="I96" s="15"/>
      <c r="J96" s="18"/>
      <c r="K96" s="22"/>
      <c r="L96" s="15"/>
      <c r="M96" s="15"/>
    </row>
    <row r="97" spans="3:13">
      <c r="C97" s="15"/>
      <c r="D97" s="20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21"/>
      <c r="F97" s="15"/>
      <c r="G97" s="15"/>
      <c r="H97" s="15"/>
      <c r="I97" s="15"/>
      <c r="J97" s="18"/>
      <c r="K97" s="22"/>
      <c r="L97" s="15"/>
      <c r="M97" s="15"/>
    </row>
    <row r="98" spans="3:13">
      <c r="C98" s="15"/>
      <c r="D98" s="20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21"/>
      <c r="F98" s="15"/>
      <c r="G98" s="15"/>
      <c r="H98" s="15"/>
      <c r="I98" s="15"/>
      <c r="J98" s="18"/>
      <c r="K98" s="22"/>
      <c r="L98" s="15"/>
      <c r="M98" s="15"/>
    </row>
    <row r="99" spans="3:13">
      <c r="C99" s="15"/>
      <c r="D99" s="20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21"/>
      <c r="F99" s="15"/>
      <c r="G99" s="15"/>
      <c r="H99" s="15"/>
      <c r="I99" s="15"/>
      <c r="J99" s="18"/>
      <c r="K99" s="22"/>
      <c r="L99" s="15"/>
      <c r="M99" s="15"/>
    </row>
    <row r="100" spans="3:13">
      <c r="C100" s="15"/>
      <c r="D100" s="20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21"/>
      <c r="F100" s="15"/>
      <c r="G100" s="15"/>
      <c r="H100" s="15"/>
      <c r="I100" s="15"/>
      <c r="J100" s="18"/>
      <c r="K100" s="22"/>
      <c r="L100" s="15"/>
      <c r="M100" s="15"/>
    </row>
    <row r="101" spans="3:13">
      <c r="C101" s="15"/>
      <c r="D101" s="20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21"/>
      <c r="F101" s="15"/>
      <c r="G101" s="15"/>
      <c r="H101" s="15"/>
      <c r="I101" s="15"/>
      <c r="J101" s="18"/>
      <c r="K101" s="22"/>
      <c r="L101" s="15"/>
      <c r="M101" s="15"/>
    </row>
    <row r="102" spans="3:13">
      <c r="C102" s="15"/>
      <c r="D102" s="20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21"/>
      <c r="F102" s="15"/>
      <c r="G102" s="15"/>
      <c r="H102" s="15"/>
      <c r="I102" s="15"/>
      <c r="J102" s="18"/>
      <c r="K102" s="22"/>
      <c r="L102" s="15"/>
      <c r="M102" s="15"/>
    </row>
    <row r="103" spans="3:13">
      <c r="C103" s="15"/>
      <c r="D103" s="20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21"/>
      <c r="F103" s="15"/>
      <c r="G103" s="15"/>
      <c r="H103" s="15"/>
      <c r="I103" s="15"/>
      <c r="J103" s="18"/>
      <c r="K103" s="22"/>
      <c r="L103" s="15"/>
      <c r="M103" s="15"/>
    </row>
    <row r="104" spans="3:13">
      <c r="C104" s="15"/>
      <c r="D104" s="20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21"/>
      <c r="F104" s="15"/>
      <c r="G104" s="15"/>
      <c r="H104" s="15"/>
      <c r="I104" s="15"/>
      <c r="J104" s="18"/>
      <c r="K104" s="22"/>
      <c r="L104" s="15"/>
      <c r="M104" s="15"/>
    </row>
    <row r="105" spans="3:13">
      <c r="C105" s="15"/>
      <c r="D105" s="20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21"/>
      <c r="F105" s="15"/>
      <c r="G105" s="15"/>
      <c r="H105" s="15"/>
      <c r="I105" s="15"/>
      <c r="J105" s="18"/>
      <c r="K105" s="22"/>
      <c r="L105" s="15"/>
      <c r="M105" s="15"/>
    </row>
    <row r="106" spans="3:13">
      <c r="C106" s="15"/>
      <c r="D106" s="20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21"/>
      <c r="F106" s="15"/>
      <c r="G106" s="15"/>
      <c r="H106" s="15"/>
      <c r="I106" s="15"/>
      <c r="J106" s="18"/>
      <c r="K106" s="22"/>
      <c r="L106" s="15"/>
      <c r="M106" s="15"/>
    </row>
    <row r="107" spans="3:13">
      <c r="C107" s="15"/>
      <c r="D107" s="20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21"/>
      <c r="F107" s="15"/>
      <c r="G107" s="15"/>
      <c r="H107" s="15"/>
      <c r="I107" s="15"/>
      <c r="J107" s="18"/>
      <c r="K107" s="22"/>
      <c r="L107" s="15"/>
      <c r="M107" s="15"/>
    </row>
    <row r="108" spans="3:13">
      <c r="C108" s="15"/>
      <c r="D108" s="20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21"/>
      <c r="F108" s="15"/>
      <c r="G108" s="15"/>
      <c r="H108" s="15"/>
      <c r="I108" s="15"/>
      <c r="J108" s="18"/>
      <c r="K108" s="22"/>
      <c r="L108" s="15"/>
      <c r="M108" s="15"/>
    </row>
    <row r="109" spans="3:13">
      <c r="C109" s="15"/>
      <c r="D109" s="20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21"/>
      <c r="F109" s="15"/>
      <c r="G109" s="15"/>
      <c r="H109" s="15"/>
      <c r="I109" s="15"/>
      <c r="J109" s="18"/>
      <c r="K109" s="22"/>
      <c r="L109" s="15"/>
      <c r="M109" s="15"/>
    </row>
    <row r="110" spans="3:13">
      <c r="C110" s="15"/>
      <c r="D110" s="20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21"/>
      <c r="F110" s="15"/>
      <c r="G110" s="15"/>
      <c r="H110" s="15"/>
      <c r="I110" s="15"/>
      <c r="J110" s="18"/>
      <c r="K110" s="22"/>
      <c r="L110" s="15"/>
      <c r="M110" s="15"/>
    </row>
    <row r="111" spans="3:13">
      <c r="C111" s="15"/>
      <c r="D111" s="20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21"/>
      <c r="F111" s="15"/>
      <c r="G111" s="15"/>
      <c r="H111" s="15"/>
      <c r="I111" s="15"/>
      <c r="J111" s="18"/>
      <c r="K111" s="22"/>
      <c r="L111" s="15"/>
      <c r="M111" s="15"/>
    </row>
    <row r="112" spans="3:13">
      <c r="C112" s="15"/>
      <c r="D112" s="20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21"/>
      <c r="F112" s="15"/>
      <c r="G112" s="15"/>
      <c r="H112" s="15"/>
      <c r="I112" s="15"/>
      <c r="J112" s="18"/>
      <c r="K112" s="22"/>
      <c r="L112" s="15"/>
      <c r="M112" s="15"/>
    </row>
    <row r="113" spans="3:13">
      <c r="C113" s="15"/>
      <c r="D113" s="20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21"/>
      <c r="F113" s="15"/>
      <c r="G113" s="15"/>
      <c r="H113" s="15"/>
      <c r="I113" s="15"/>
      <c r="J113" s="18"/>
      <c r="K113" s="22"/>
      <c r="L113" s="15"/>
      <c r="M113" s="15"/>
    </row>
    <row r="114" spans="3:13">
      <c r="C114" s="15"/>
      <c r="D114" s="20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21"/>
      <c r="F114" s="15"/>
      <c r="G114" s="15"/>
      <c r="H114" s="15"/>
      <c r="I114" s="15"/>
      <c r="J114" s="18"/>
      <c r="K114" s="22"/>
      <c r="L114" s="15"/>
      <c r="M114" s="15"/>
    </row>
    <row r="115" spans="3:13">
      <c r="C115" s="15"/>
      <c r="D115" s="20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21"/>
      <c r="F115" s="15"/>
      <c r="G115" s="15"/>
      <c r="H115" s="15"/>
      <c r="I115" s="15"/>
      <c r="J115" s="18"/>
      <c r="K115" s="22"/>
      <c r="L115" s="15"/>
      <c r="M115" s="15"/>
    </row>
    <row r="116" spans="3:13">
      <c r="C116" s="15"/>
      <c r="D116" s="20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21"/>
      <c r="F116" s="15"/>
      <c r="G116" s="15"/>
      <c r="H116" s="15"/>
      <c r="I116" s="15"/>
      <c r="J116" s="18"/>
      <c r="K116" s="22"/>
      <c r="L116" s="15"/>
      <c r="M116" s="15"/>
    </row>
    <row r="117" spans="3:13">
      <c r="C117" s="15"/>
      <c r="D117" s="20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21"/>
      <c r="F117" s="15"/>
      <c r="G117" s="15"/>
      <c r="H117" s="15"/>
      <c r="I117" s="15"/>
      <c r="J117" s="18"/>
      <c r="K117" s="22"/>
      <c r="L117" s="15"/>
      <c r="M117" s="15"/>
    </row>
    <row r="118" spans="3:13">
      <c r="C118" s="15"/>
      <c r="D118" s="20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21"/>
      <c r="F118" s="15"/>
      <c r="G118" s="15"/>
      <c r="H118" s="15"/>
      <c r="I118" s="15"/>
      <c r="J118" s="18"/>
      <c r="K118" s="22"/>
      <c r="L118" s="15"/>
      <c r="M118" s="15"/>
    </row>
    <row r="119" spans="3:13">
      <c r="C119" s="15"/>
      <c r="D119" s="20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21"/>
      <c r="F119" s="15"/>
      <c r="G119" s="15"/>
      <c r="H119" s="15"/>
      <c r="I119" s="15"/>
      <c r="J119" s="18"/>
      <c r="K119" s="22"/>
      <c r="L119" s="15"/>
      <c r="M119" s="15"/>
    </row>
    <row r="120" spans="3:13">
      <c r="C120" s="15"/>
      <c r="D120" s="20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21"/>
      <c r="F120" s="15"/>
      <c r="G120" s="15"/>
      <c r="H120" s="15"/>
      <c r="I120" s="15"/>
      <c r="J120" s="18"/>
      <c r="K120" s="22"/>
      <c r="L120" s="15"/>
      <c r="M120" s="15"/>
    </row>
    <row r="121" spans="3:13">
      <c r="C121" s="15"/>
      <c r="D121" s="20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21"/>
      <c r="F121" s="15"/>
      <c r="G121" s="15"/>
      <c r="H121" s="15"/>
      <c r="I121" s="15"/>
      <c r="J121" s="18"/>
      <c r="K121" s="22"/>
      <c r="L121" s="15"/>
      <c r="M121" s="15"/>
    </row>
    <row r="122" spans="3:13">
      <c r="C122" s="15"/>
      <c r="D122" s="20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21"/>
      <c r="F122" s="15"/>
      <c r="G122" s="15"/>
      <c r="H122" s="15"/>
      <c r="I122" s="15"/>
      <c r="J122" s="18"/>
      <c r="K122" s="22"/>
      <c r="L122" s="15"/>
      <c r="M122" s="15"/>
    </row>
    <row r="123" spans="3:13">
      <c r="C123" s="15"/>
      <c r="D123" s="20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21"/>
      <c r="F123" s="15"/>
      <c r="G123" s="15"/>
      <c r="H123" s="15"/>
      <c r="I123" s="15"/>
      <c r="J123" s="18"/>
      <c r="K123" s="22"/>
      <c r="L123" s="15"/>
      <c r="M123" s="15"/>
    </row>
    <row r="124" spans="3:13">
      <c r="C124" s="15"/>
      <c r="D124" s="20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21"/>
      <c r="F124" s="15"/>
      <c r="G124" s="15"/>
      <c r="H124" s="15"/>
      <c r="I124" s="15"/>
      <c r="J124" s="18"/>
      <c r="K124" s="22"/>
      <c r="L124" s="15"/>
      <c r="M124" s="15"/>
    </row>
    <row r="125" spans="3:13">
      <c r="C125" s="15"/>
      <c r="D125" s="20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21"/>
      <c r="F125" s="15"/>
      <c r="G125" s="15"/>
      <c r="H125" s="15"/>
      <c r="I125" s="15"/>
      <c r="J125" s="18"/>
      <c r="K125" s="22"/>
      <c r="L125" s="15"/>
      <c r="M125" s="15"/>
    </row>
    <row r="126" spans="3:13">
      <c r="C126" s="15"/>
      <c r="D126" s="20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21"/>
      <c r="F126" s="15"/>
      <c r="G126" s="15"/>
      <c r="H126" s="15"/>
      <c r="I126" s="15"/>
      <c r="J126" s="18"/>
      <c r="K126" s="22"/>
      <c r="L126" s="15"/>
      <c r="M126" s="15"/>
    </row>
    <row r="127" spans="3:13">
      <c r="C127" s="15"/>
      <c r="D127" s="20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21"/>
      <c r="F127" s="15"/>
      <c r="G127" s="15"/>
      <c r="H127" s="15"/>
      <c r="I127" s="15"/>
      <c r="J127" s="18"/>
      <c r="K127" s="22"/>
      <c r="L127" s="15"/>
      <c r="M127" s="15"/>
    </row>
    <row r="128" spans="3:13">
      <c r="C128" s="15"/>
      <c r="D128" s="20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21"/>
      <c r="F128" s="15"/>
      <c r="G128" s="15"/>
      <c r="H128" s="15"/>
      <c r="I128" s="15"/>
      <c r="J128" s="18"/>
      <c r="K128" s="22"/>
      <c r="L128" s="15"/>
      <c r="M128" s="15"/>
    </row>
    <row r="129" spans="3:13">
      <c r="C129" s="15"/>
      <c r="D129" s="20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21"/>
      <c r="F129" s="15"/>
      <c r="G129" s="15"/>
      <c r="H129" s="15"/>
      <c r="I129" s="15"/>
      <c r="J129" s="18"/>
      <c r="K129" s="22"/>
      <c r="L129" s="15"/>
      <c r="M129" s="15"/>
    </row>
    <row r="130" spans="3:13">
      <c r="C130" s="15"/>
      <c r="D130" s="20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21"/>
      <c r="F130" s="15"/>
      <c r="G130" s="15"/>
      <c r="H130" s="15"/>
      <c r="I130" s="15"/>
      <c r="J130" s="18"/>
      <c r="K130" s="22"/>
      <c r="L130" s="15"/>
      <c r="M130" s="15"/>
    </row>
    <row r="131" spans="3:13">
      <c r="C131" s="15"/>
      <c r="D131" s="20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21"/>
      <c r="F131" s="15"/>
      <c r="G131" s="15"/>
      <c r="H131" s="15"/>
      <c r="I131" s="15"/>
      <c r="J131" s="18"/>
      <c r="K131" s="22"/>
      <c r="L131" s="15"/>
      <c r="M131" s="15"/>
    </row>
    <row r="132" spans="3:13">
      <c r="C132" s="15"/>
      <c r="D132" s="20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21"/>
      <c r="F132" s="15"/>
      <c r="G132" s="15"/>
      <c r="H132" s="15"/>
      <c r="I132" s="15"/>
      <c r="J132" s="18"/>
      <c r="K132" s="22"/>
      <c r="L132" s="15"/>
      <c r="M132" s="15"/>
    </row>
    <row r="133" spans="3:13">
      <c r="C133" s="15"/>
      <c r="D133" s="20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21"/>
      <c r="F133" s="15"/>
      <c r="G133" s="15"/>
      <c r="H133" s="15"/>
      <c r="I133" s="15"/>
      <c r="J133" s="18"/>
      <c r="K133" s="22"/>
      <c r="L133" s="15"/>
      <c r="M133" s="15"/>
    </row>
    <row r="134" spans="3:13">
      <c r="C134" s="15"/>
      <c r="D134" s="20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21"/>
      <c r="F134" s="15"/>
      <c r="G134" s="15"/>
      <c r="H134" s="15"/>
      <c r="I134" s="15"/>
      <c r="J134" s="18"/>
      <c r="K134" s="22"/>
      <c r="L134" s="15"/>
      <c r="M134" s="15"/>
    </row>
    <row r="135" spans="3:13">
      <c r="C135" s="15"/>
      <c r="D135" s="20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21"/>
      <c r="F135" s="15"/>
      <c r="G135" s="15"/>
      <c r="H135" s="15"/>
      <c r="I135" s="15"/>
      <c r="J135" s="18"/>
      <c r="K135" s="22"/>
      <c r="L135" s="15"/>
      <c r="M135" s="15"/>
    </row>
    <row r="136" spans="3:13">
      <c r="C136" s="15"/>
      <c r="D136" s="20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21"/>
      <c r="F136" s="15"/>
      <c r="G136" s="15"/>
      <c r="H136" s="15"/>
      <c r="I136" s="15"/>
      <c r="J136" s="18"/>
      <c r="K136" s="22"/>
      <c r="L136" s="15"/>
      <c r="M136" s="15"/>
    </row>
    <row r="137" spans="3:13">
      <c r="C137" s="15"/>
      <c r="D137" s="20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21"/>
      <c r="F137" s="15"/>
      <c r="G137" s="15"/>
      <c r="H137" s="15"/>
      <c r="I137" s="15"/>
      <c r="J137" s="18"/>
      <c r="K137" s="22"/>
      <c r="L137" s="15"/>
      <c r="M137" s="15"/>
    </row>
    <row r="138" spans="3:13">
      <c r="C138" s="15"/>
      <c r="D138" s="20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21"/>
      <c r="F138" s="15"/>
      <c r="G138" s="15"/>
      <c r="H138" s="15"/>
      <c r="I138" s="15"/>
      <c r="J138" s="18"/>
      <c r="K138" s="22"/>
      <c r="L138" s="15"/>
      <c r="M138" s="15"/>
    </row>
    <row r="139" spans="3:13">
      <c r="C139" s="15"/>
      <c r="D139" s="20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21"/>
      <c r="F139" s="15"/>
      <c r="G139" s="15"/>
      <c r="H139" s="15"/>
      <c r="I139" s="15"/>
      <c r="J139" s="18"/>
      <c r="K139" s="22"/>
      <c r="L139" s="15"/>
      <c r="M139" s="15"/>
    </row>
    <row r="140" spans="3:13">
      <c r="C140" s="15"/>
      <c r="D140" s="20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21"/>
      <c r="F140" s="15"/>
      <c r="G140" s="15"/>
      <c r="H140" s="15"/>
      <c r="I140" s="15"/>
      <c r="J140" s="18"/>
      <c r="K140" s="22"/>
      <c r="L140" s="15"/>
      <c r="M140" s="15"/>
    </row>
    <row r="141" spans="3:13">
      <c r="C141" s="15"/>
      <c r="D141" s="20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21"/>
      <c r="F141" s="15"/>
      <c r="G141" s="15"/>
      <c r="H141" s="15"/>
      <c r="I141" s="15"/>
      <c r="J141" s="18"/>
      <c r="K141" s="22"/>
      <c r="L141" s="15"/>
      <c r="M141" s="15"/>
    </row>
    <row r="142" spans="3:13">
      <c r="C142" s="15"/>
      <c r="D142" s="20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21"/>
      <c r="F142" s="15"/>
      <c r="G142" s="15"/>
      <c r="H142" s="15"/>
      <c r="I142" s="15"/>
      <c r="J142" s="18"/>
      <c r="K142" s="22"/>
      <c r="L142" s="15"/>
      <c r="M142" s="15"/>
    </row>
    <row r="143" spans="3:13">
      <c r="C143" s="15"/>
      <c r="D143" s="20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21"/>
      <c r="F143" s="15"/>
      <c r="G143" s="15"/>
      <c r="H143" s="15"/>
      <c r="I143" s="15"/>
      <c r="J143" s="18"/>
      <c r="K143" s="22"/>
      <c r="L143" s="15"/>
      <c r="M143" s="15"/>
    </row>
    <row r="144" spans="3:13">
      <c r="C144" s="15"/>
      <c r="D144" s="20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21"/>
      <c r="F144" s="15"/>
      <c r="G144" s="15"/>
      <c r="H144" s="15"/>
      <c r="I144" s="15"/>
      <c r="J144" s="18"/>
      <c r="K144" s="22"/>
      <c r="L144" s="15"/>
      <c r="M144" s="15"/>
    </row>
    <row r="145" spans="3:13">
      <c r="C145" s="15"/>
      <c r="D145" s="20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21"/>
      <c r="F145" s="15"/>
      <c r="G145" s="15"/>
      <c r="H145" s="15"/>
      <c r="I145" s="15"/>
      <c r="J145" s="18"/>
      <c r="K145" s="22"/>
      <c r="L145" s="15"/>
      <c r="M145" s="15"/>
    </row>
    <row r="146" spans="3:13">
      <c r="C146" s="15"/>
      <c r="D146" s="20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21"/>
      <c r="F146" s="15"/>
      <c r="G146" s="15"/>
      <c r="H146" s="15"/>
      <c r="I146" s="15"/>
      <c r="J146" s="18"/>
      <c r="K146" s="22"/>
      <c r="L146" s="15"/>
      <c r="M146" s="15"/>
    </row>
    <row r="147" spans="3:13">
      <c r="C147" s="15"/>
      <c r="D147" s="20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21"/>
      <c r="F147" s="15"/>
      <c r="G147" s="15"/>
      <c r="H147" s="15"/>
      <c r="I147" s="15"/>
      <c r="J147" s="18"/>
      <c r="K147" s="22"/>
      <c r="L147" s="15"/>
      <c r="M147" s="15"/>
    </row>
    <row r="148" spans="3:13">
      <c r="C148" s="15"/>
      <c r="D148" s="20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21"/>
      <c r="F148" s="15"/>
      <c r="G148" s="15"/>
      <c r="H148" s="15"/>
      <c r="I148" s="15"/>
      <c r="J148" s="18"/>
      <c r="K148" s="22"/>
      <c r="L148" s="15"/>
      <c r="M148" s="15"/>
    </row>
    <row r="149" spans="3:13">
      <c r="C149" s="15"/>
      <c r="D149" s="20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21"/>
      <c r="F149" s="15"/>
      <c r="G149" s="15"/>
      <c r="H149" s="15"/>
      <c r="I149" s="15"/>
      <c r="J149" s="18"/>
      <c r="K149" s="22"/>
      <c r="L149" s="15"/>
      <c r="M149" s="15"/>
    </row>
    <row r="150" spans="3:13">
      <c r="C150" s="15"/>
      <c r="D150" s="20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21"/>
      <c r="F150" s="15"/>
      <c r="G150" s="15"/>
      <c r="H150" s="15"/>
      <c r="I150" s="15"/>
      <c r="J150" s="18"/>
      <c r="K150" s="22"/>
      <c r="L150" s="15"/>
      <c r="M150" s="15"/>
    </row>
    <row r="151" spans="3:13">
      <c r="C151" s="15"/>
      <c r="D151" s="20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21"/>
      <c r="F151" s="15"/>
      <c r="G151" s="15"/>
      <c r="H151" s="15"/>
      <c r="I151" s="15"/>
      <c r="J151" s="18"/>
      <c r="K151" s="22"/>
      <c r="L151" s="15"/>
      <c r="M151" s="15"/>
    </row>
    <row r="152" spans="3:13">
      <c r="C152" s="15"/>
      <c r="D152" s="20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21"/>
      <c r="F152" s="15"/>
      <c r="G152" s="15"/>
      <c r="H152" s="15"/>
      <c r="I152" s="15"/>
      <c r="J152" s="18"/>
      <c r="K152" s="22"/>
      <c r="L152" s="15"/>
      <c r="M152" s="15"/>
    </row>
    <row r="153" spans="3:13">
      <c r="C153" s="15"/>
      <c r="D153" s="20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21"/>
      <c r="F153" s="15"/>
      <c r="G153" s="15"/>
      <c r="H153" s="15"/>
      <c r="I153" s="15"/>
      <c r="J153" s="18"/>
      <c r="K153" s="22"/>
      <c r="L153" s="15"/>
      <c r="M153" s="15"/>
    </row>
    <row r="154" spans="3:13">
      <c r="C154" s="15"/>
      <c r="D154" s="20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21"/>
      <c r="F154" s="15"/>
      <c r="G154" s="15"/>
      <c r="H154" s="15"/>
      <c r="I154" s="15"/>
      <c r="J154" s="18"/>
      <c r="K154" s="22"/>
      <c r="L154" s="15"/>
      <c r="M154" s="15"/>
    </row>
    <row r="155" spans="3:13">
      <c r="C155" s="15"/>
      <c r="D155" s="20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21"/>
      <c r="F155" s="15"/>
      <c r="G155" s="15"/>
      <c r="H155" s="15"/>
      <c r="I155" s="15"/>
      <c r="J155" s="18"/>
      <c r="K155" s="22"/>
      <c r="L155" s="15"/>
      <c r="M155" s="15"/>
    </row>
    <row r="156" spans="3:13">
      <c r="C156" s="15"/>
      <c r="D156" s="20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21"/>
      <c r="F156" s="15"/>
      <c r="G156" s="15"/>
      <c r="H156" s="15"/>
      <c r="I156" s="15"/>
      <c r="J156" s="18"/>
      <c r="K156" s="22"/>
      <c r="L156" s="15"/>
      <c r="M156" s="15"/>
    </row>
    <row r="157" spans="3:13">
      <c r="C157" s="15"/>
      <c r="D157" s="20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21"/>
      <c r="F157" s="15"/>
      <c r="G157" s="15"/>
      <c r="H157" s="15"/>
      <c r="I157" s="15"/>
      <c r="J157" s="18"/>
      <c r="K157" s="22"/>
      <c r="L157" s="15"/>
      <c r="M157" s="15"/>
    </row>
    <row r="158" spans="3:13">
      <c r="C158" s="15"/>
      <c r="D158" s="20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21"/>
      <c r="F158" s="15"/>
      <c r="G158" s="15"/>
      <c r="H158" s="15"/>
      <c r="I158" s="15"/>
      <c r="J158" s="18"/>
      <c r="K158" s="22"/>
      <c r="L158" s="15"/>
      <c r="M158" s="15"/>
    </row>
    <row r="159" spans="3:13">
      <c r="C159" s="15"/>
      <c r="D159" s="20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21"/>
      <c r="F159" s="15"/>
      <c r="G159" s="15"/>
      <c r="H159" s="15"/>
      <c r="I159" s="15"/>
      <c r="J159" s="18"/>
      <c r="K159" s="22"/>
      <c r="L159" s="15"/>
      <c r="M159" s="15"/>
    </row>
    <row r="160" spans="3:13">
      <c r="C160" s="15"/>
      <c r="D160" s="20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21"/>
      <c r="F160" s="15"/>
      <c r="G160" s="15"/>
      <c r="H160" s="15"/>
      <c r="I160" s="15"/>
      <c r="J160" s="18"/>
      <c r="K160" s="22"/>
      <c r="L160" s="15"/>
      <c r="M160" s="15"/>
    </row>
    <row r="161" spans="3:13">
      <c r="C161" s="15"/>
      <c r="D161" s="20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21"/>
      <c r="F161" s="15"/>
      <c r="G161" s="15"/>
      <c r="H161" s="15"/>
      <c r="I161" s="15"/>
      <c r="J161" s="18"/>
      <c r="K161" s="22"/>
      <c r="L161" s="15"/>
      <c r="M161" s="15"/>
    </row>
    <row r="162" spans="3:13">
      <c r="C162" s="15"/>
      <c r="D162" s="20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21"/>
      <c r="F162" s="15"/>
      <c r="G162" s="15"/>
      <c r="H162" s="15"/>
      <c r="I162" s="15"/>
      <c r="J162" s="18"/>
      <c r="K162" s="22"/>
      <c r="L162" s="15"/>
      <c r="M162" s="15"/>
    </row>
    <row r="163" spans="3:13">
      <c r="C163" s="15"/>
      <c r="D163" s="20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21"/>
      <c r="F163" s="15"/>
      <c r="G163" s="15"/>
      <c r="H163" s="15"/>
      <c r="I163" s="15"/>
      <c r="J163" s="18"/>
      <c r="K163" s="22"/>
      <c r="L163" s="15"/>
      <c r="M163" s="15"/>
    </row>
    <row r="164" spans="3:13">
      <c r="C164" s="15"/>
      <c r="D164" s="20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21"/>
      <c r="F164" s="15"/>
      <c r="G164" s="15"/>
      <c r="H164" s="15"/>
      <c r="I164" s="15"/>
      <c r="J164" s="18"/>
      <c r="K164" s="22"/>
      <c r="L164" s="15"/>
      <c r="M164" s="15"/>
    </row>
    <row r="165" spans="3:13">
      <c r="C165" s="15"/>
      <c r="D165" s="20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21"/>
      <c r="F165" s="15"/>
      <c r="G165" s="15"/>
      <c r="H165" s="15"/>
      <c r="I165" s="15"/>
      <c r="J165" s="18"/>
      <c r="K165" s="22"/>
      <c r="L165" s="15"/>
      <c r="M165" s="15"/>
    </row>
    <row r="166" spans="3:13">
      <c r="C166" s="15"/>
      <c r="D166" s="20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21"/>
      <c r="F166" s="15"/>
      <c r="G166" s="15"/>
      <c r="H166" s="15"/>
      <c r="I166" s="15"/>
      <c r="J166" s="18"/>
      <c r="K166" s="22"/>
      <c r="L166" s="15"/>
      <c r="M166" s="15"/>
    </row>
    <row r="167" spans="3:13">
      <c r="C167" s="15"/>
      <c r="D167" s="20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21"/>
      <c r="F167" s="15"/>
      <c r="G167" s="15"/>
      <c r="H167" s="15"/>
      <c r="I167" s="15"/>
      <c r="J167" s="18"/>
      <c r="K167" s="22"/>
      <c r="L167" s="15"/>
      <c r="M167" s="15"/>
    </row>
    <row r="168" spans="3:13">
      <c r="C168" s="15"/>
      <c r="D168" s="20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21"/>
      <c r="F168" s="15"/>
      <c r="G168" s="15"/>
      <c r="H168" s="15"/>
      <c r="I168" s="15"/>
      <c r="J168" s="18"/>
      <c r="K168" s="22"/>
      <c r="L168" s="15"/>
      <c r="M168" s="15"/>
    </row>
    <row r="169" spans="3:13">
      <c r="C169" s="15"/>
      <c r="D169" s="20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21"/>
      <c r="F169" s="15"/>
      <c r="G169" s="15"/>
      <c r="H169" s="15"/>
      <c r="I169" s="15"/>
      <c r="J169" s="18"/>
      <c r="K169" s="22"/>
      <c r="L169" s="15"/>
      <c r="M169" s="15"/>
    </row>
    <row r="170" spans="3:13">
      <c r="C170" s="15"/>
      <c r="D170" s="20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21"/>
      <c r="F170" s="15"/>
      <c r="G170" s="15"/>
      <c r="H170" s="15"/>
      <c r="I170" s="15"/>
      <c r="J170" s="18"/>
      <c r="K170" s="22"/>
      <c r="L170" s="15"/>
      <c r="M170" s="15"/>
    </row>
    <row r="171" spans="3:13">
      <c r="C171" s="15"/>
      <c r="D171" s="20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21"/>
      <c r="F171" s="15"/>
      <c r="G171" s="15"/>
      <c r="H171" s="15"/>
      <c r="I171" s="15"/>
      <c r="J171" s="18"/>
      <c r="K171" s="22"/>
      <c r="L171" s="15"/>
      <c r="M171" s="15"/>
    </row>
    <row r="172" spans="3:13">
      <c r="C172" s="15"/>
      <c r="D172" s="20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21"/>
      <c r="F172" s="15"/>
      <c r="G172" s="15"/>
      <c r="H172" s="15"/>
      <c r="I172" s="15"/>
      <c r="J172" s="18"/>
      <c r="K172" s="22"/>
      <c r="L172" s="15"/>
      <c r="M172" s="15"/>
    </row>
    <row r="173" spans="3:13">
      <c r="C173" s="15"/>
      <c r="D173" s="20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21"/>
      <c r="F173" s="15"/>
      <c r="G173" s="15"/>
      <c r="H173" s="15"/>
      <c r="I173" s="15"/>
      <c r="J173" s="18"/>
      <c r="K173" s="22"/>
      <c r="L173" s="15"/>
      <c r="M173" s="15"/>
    </row>
    <row r="174" spans="3:13">
      <c r="C174" s="15"/>
      <c r="D174" s="20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21"/>
      <c r="F174" s="15"/>
      <c r="G174" s="15"/>
      <c r="H174" s="15"/>
      <c r="I174" s="15"/>
      <c r="J174" s="18"/>
      <c r="K174" s="22"/>
      <c r="L174" s="15"/>
      <c r="M174" s="15"/>
    </row>
    <row r="175" spans="3:13">
      <c r="C175" s="15"/>
      <c r="D175" s="20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21"/>
      <c r="F175" s="15"/>
      <c r="G175" s="15"/>
      <c r="H175" s="15"/>
      <c r="I175" s="15"/>
      <c r="J175" s="18"/>
      <c r="K175" s="22"/>
      <c r="L175" s="15"/>
      <c r="M175" s="15"/>
    </row>
    <row r="176" spans="3:13">
      <c r="C176" s="15"/>
      <c r="D176" s="20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21"/>
      <c r="F176" s="15"/>
      <c r="G176" s="15"/>
      <c r="H176" s="15"/>
      <c r="I176" s="15"/>
      <c r="J176" s="18"/>
      <c r="K176" s="22"/>
      <c r="L176" s="15"/>
      <c r="M176" s="15"/>
    </row>
    <row r="177" spans="3:13">
      <c r="C177" s="15"/>
      <c r="D177" s="20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21"/>
      <c r="F177" s="15"/>
      <c r="G177" s="15"/>
      <c r="H177" s="15"/>
      <c r="I177" s="15"/>
      <c r="J177" s="18"/>
      <c r="K177" s="22"/>
      <c r="L177" s="15"/>
      <c r="M177" s="15"/>
    </row>
    <row r="178" spans="3:13">
      <c r="C178" s="15"/>
      <c r="D178" s="20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21"/>
      <c r="F178" s="15"/>
      <c r="G178" s="15"/>
      <c r="H178" s="15"/>
      <c r="I178" s="15"/>
      <c r="J178" s="18"/>
      <c r="K178" s="22"/>
      <c r="L178" s="15"/>
      <c r="M178" s="15"/>
    </row>
    <row r="179" spans="3:13">
      <c r="C179" s="15"/>
      <c r="D179" s="20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21"/>
      <c r="F179" s="15"/>
      <c r="G179" s="15"/>
      <c r="H179" s="15"/>
      <c r="I179" s="15"/>
      <c r="J179" s="18"/>
      <c r="K179" s="22"/>
      <c r="L179" s="15"/>
      <c r="M179" s="15"/>
    </row>
    <row r="180" spans="3:13">
      <c r="C180" s="15"/>
      <c r="D180" s="20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21"/>
      <c r="F180" s="15"/>
      <c r="G180" s="15"/>
      <c r="H180" s="15"/>
      <c r="I180" s="15"/>
      <c r="J180" s="18"/>
      <c r="K180" s="22"/>
      <c r="L180" s="15"/>
      <c r="M180" s="15"/>
    </row>
    <row r="181" spans="3:13">
      <c r="C181" s="15"/>
      <c r="D181" s="20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21"/>
      <c r="F181" s="15"/>
      <c r="G181" s="15"/>
      <c r="H181" s="15"/>
      <c r="I181" s="15"/>
      <c r="J181" s="18"/>
      <c r="K181" s="22"/>
      <c r="L181" s="15"/>
      <c r="M181" s="15"/>
    </row>
    <row r="182" spans="3:13">
      <c r="C182" s="15"/>
      <c r="D182" s="20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21"/>
      <c r="F182" s="15"/>
      <c r="G182" s="15"/>
      <c r="H182" s="15"/>
      <c r="I182" s="15"/>
      <c r="J182" s="18"/>
      <c r="K182" s="22"/>
      <c r="L182" s="15"/>
      <c r="M182" s="15"/>
    </row>
    <row r="183" spans="3:13">
      <c r="C183" s="15"/>
      <c r="D183" s="20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21"/>
      <c r="F183" s="15"/>
      <c r="G183" s="15"/>
      <c r="H183" s="15"/>
      <c r="I183" s="15"/>
      <c r="J183" s="18"/>
      <c r="K183" s="22"/>
      <c r="L183" s="15"/>
      <c r="M183" s="15"/>
    </row>
    <row r="184" spans="3:13">
      <c r="C184" s="15"/>
      <c r="D184" s="20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21"/>
      <c r="F184" s="15"/>
      <c r="G184" s="15"/>
      <c r="H184" s="15"/>
      <c r="I184" s="15"/>
      <c r="J184" s="18"/>
      <c r="K184" s="22"/>
      <c r="L184" s="15"/>
      <c r="M184" s="15"/>
    </row>
    <row r="185" spans="3:13">
      <c r="C185" s="15"/>
      <c r="D185" s="20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21"/>
      <c r="F185" s="15"/>
      <c r="G185" s="15"/>
      <c r="H185" s="15"/>
      <c r="I185" s="15"/>
      <c r="J185" s="18"/>
      <c r="K185" s="22"/>
      <c r="L185" s="15"/>
      <c r="M185" s="15"/>
    </row>
    <row r="186" spans="3:13">
      <c r="C186" s="15"/>
      <c r="D186" s="20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21"/>
      <c r="F186" s="15"/>
      <c r="G186" s="15"/>
      <c r="H186" s="15"/>
      <c r="I186" s="15"/>
      <c r="J186" s="18"/>
      <c r="K186" s="22"/>
      <c r="L186" s="15"/>
      <c r="M186" s="15"/>
    </row>
    <row r="187" spans="3:13">
      <c r="C187" s="15"/>
      <c r="D187" s="20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21"/>
      <c r="F187" s="15"/>
      <c r="G187" s="15"/>
      <c r="H187" s="15"/>
      <c r="I187" s="15"/>
      <c r="J187" s="18"/>
      <c r="K187" s="22"/>
      <c r="L187" s="15"/>
      <c r="M187" s="15"/>
    </row>
    <row r="188" spans="3:13">
      <c r="C188" s="15"/>
      <c r="D188" s="20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21"/>
      <c r="F188" s="15"/>
      <c r="G188" s="15"/>
      <c r="H188" s="15"/>
      <c r="I188" s="15"/>
      <c r="J188" s="18"/>
      <c r="K188" s="22"/>
      <c r="L188" s="15"/>
      <c r="M188" s="15"/>
    </row>
    <row r="189" spans="3:13">
      <c r="C189" s="15"/>
      <c r="D189" s="20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21"/>
      <c r="F189" s="15"/>
      <c r="G189" s="15"/>
      <c r="H189" s="15"/>
      <c r="I189" s="15"/>
      <c r="J189" s="18"/>
      <c r="K189" s="22"/>
      <c r="L189" s="15"/>
      <c r="M189" s="15"/>
    </row>
    <row r="190" spans="3:13">
      <c r="C190" s="15"/>
      <c r="D190" s="20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21"/>
      <c r="F190" s="15"/>
      <c r="G190" s="15"/>
      <c r="H190" s="15"/>
      <c r="I190" s="15"/>
      <c r="J190" s="18"/>
      <c r="K190" s="22"/>
      <c r="L190" s="15"/>
      <c r="M190" s="15"/>
    </row>
    <row r="191" spans="3:13">
      <c r="C191" s="15"/>
      <c r="D191" s="20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21"/>
      <c r="F191" s="15"/>
      <c r="G191" s="15"/>
      <c r="H191" s="15"/>
      <c r="I191" s="15"/>
      <c r="J191" s="18"/>
      <c r="K191" s="22"/>
      <c r="L191" s="15"/>
      <c r="M191" s="15"/>
    </row>
    <row r="192" spans="3:13">
      <c r="C192" s="15"/>
      <c r="D192" s="20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21"/>
      <c r="F192" s="15"/>
      <c r="G192" s="15"/>
      <c r="H192" s="15"/>
      <c r="I192" s="15"/>
      <c r="J192" s="18"/>
      <c r="K192" s="22"/>
      <c r="L192" s="15"/>
      <c r="M192" s="15"/>
    </row>
    <row r="193" spans="3:13">
      <c r="C193" s="15"/>
      <c r="D193" s="20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21"/>
      <c r="F193" s="15"/>
      <c r="G193" s="15"/>
      <c r="H193" s="15"/>
      <c r="I193" s="15"/>
      <c r="J193" s="18"/>
      <c r="K193" s="22"/>
      <c r="L193" s="15"/>
      <c r="M193" s="15"/>
    </row>
    <row r="194" spans="3:13">
      <c r="C194" s="15"/>
      <c r="D194" s="20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21"/>
      <c r="F194" s="15"/>
      <c r="G194" s="15"/>
      <c r="H194" s="15"/>
      <c r="I194" s="15"/>
      <c r="J194" s="18"/>
      <c r="K194" s="22"/>
      <c r="L194" s="15"/>
      <c r="M194" s="15"/>
    </row>
    <row r="195" spans="3:13">
      <c r="C195" s="15"/>
      <c r="D195" s="20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21"/>
      <c r="F195" s="15"/>
      <c r="G195" s="15"/>
      <c r="H195" s="15"/>
      <c r="I195" s="15"/>
      <c r="J195" s="18"/>
      <c r="K195" s="22"/>
      <c r="L195" s="15"/>
      <c r="M195" s="15"/>
    </row>
    <row r="196" spans="3:13">
      <c r="C196" s="15"/>
      <c r="D196" s="20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21"/>
      <c r="F196" s="15"/>
      <c r="G196" s="15"/>
      <c r="H196" s="15"/>
      <c r="I196" s="15"/>
      <c r="J196" s="18"/>
      <c r="K196" s="22"/>
      <c r="L196" s="15"/>
      <c r="M196" s="15"/>
    </row>
    <row r="197" spans="3:13">
      <c r="C197" s="15"/>
      <c r="D197" s="20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21"/>
      <c r="F197" s="15"/>
      <c r="G197" s="15"/>
      <c r="H197" s="15"/>
      <c r="I197" s="15"/>
      <c r="J197" s="18"/>
      <c r="K197" s="22"/>
      <c r="L197" s="15"/>
      <c r="M197" s="15"/>
    </row>
    <row r="198" spans="3:13">
      <c r="C198" s="15"/>
      <c r="D198" s="20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21"/>
      <c r="F198" s="15"/>
      <c r="G198" s="15"/>
      <c r="H198" s="15"/>
      <c r="I198" s="15"/>
      <c r="J198" s="18"/>
      <c r="K198" s="22"/>
      <c r="L198" s="15"/>
      <c r="M198" s="15"/>
    </row>
    <row r="199" spans="3:13">
      <c r="C199" s="15"/>
      <c r="D199" s="20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21"/>
      <c r="F199" s="15"/>
      <c r="G199" s="15"/>
      <c r="H199" s="15"/>
      <c r="I199" s="15"/>
      <c r="J199" s="18"/>
      <c r="K199" s="22"/>
      <c r="L199" s="15"/>
      <c r="M199" s="15"/>
    </row>
    <row r="200" spans="3:13">
      <c r="C200" s="15"/>
      <c r="D200" s="20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21"/>
      <c r="F200" s="15"/>
      <c r="G200" s="15"/>
      <c r="H200" s="15"/>
      <c r="I200" s="15"/>
      <c r="J200" s="18"/>
      <c r="K200" s="22"/>
      <c r="L200" s="15"/>
      <c r="M200" s="15"/>
    </row>
    <row r="201" spans="3:13">
      <c r="C201" s="15"/>
      <c r="D201" s="20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21"/>
      <c r="F201" s="15"/>
      <c r="G201" s="15"/>
      <c r="H201" s="15"/>
      <c r="I201" s="15"/>
      <c r="J201" s="18"/>
      <c r="K201" s="22"/>
      <c r="L201" s="15"/>
      <c r="M201" s="15"/>
    </row>
    <row r="202" spans="3:13">
      <c r="C202" s="15"/>
      <c r="D202" s="20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21"/>
      <c r="F202" s="15"/>
      <c r="G202" s="15"/>
      <c r="H202" s="15"/>
      <c r="I202" s="15"/>
      <c r="J202" s="18"/>
      <c r="K202" s="22"/>
      <c r="L202" s="15"/>
      <c r="M202" s="15"/>
    </row>
    <row r="203" spans="3:13">
      <c r="C203" s="15"/>
      <c r="D203" s="20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21"/>
      <c r="F203" s="15"/>
      <c r="G203" s="15"/>
      <c r="H203" s="15"/>
      <c r="I203" s="15"/>
      <c r="J203" s="18"/>
      <c r="K203" s="22"/>
      <c r="L203" s="15"/>
      <c r="M203" s="15"/>
    </row>
    <row r="204" spans="3:13">
      <c r="C204" s="15"/>
      <c r="D204" s="20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21"/>
      <c r="F204" s="15"/>
      <c r="G204" s="15"/>
      <c r="H204" s="15"/>
      <c r="I204" s="15"/>
      <c r="J204" s="18"/>
      <c r="K204" s="22"/>
      <c r="L204" s="15"/>
      <c r="M204" s="15"/>
    </row>
    <row r="205" spans="3:13">
      <c r="C205" s="15"/>
      <c r="D205" s="20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21"/>
      <c r="F205" s="15"/>
      <c r="G205" s="15"/>
      <c r="H205" s="15"/>
      <c r="I205" s="15"/>
      <c r="J205" s="18"/>
      <c r="K205" s="22"/>
      <c r="L205" s="15"/>
      <c r="M205" s="15"/>
    </row>
    <row r="206" spans="3:13">
      <c r="C206" s="15"/>
      <c r="D206" s="20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21"/>
      <c r="F206" s="15"/>
      <c r="G206" s="15"/>
      <c r="H206" s="15"/>
      <c r="I206" s="15"/>
      <c r="J206" s="18"/>
      <c r="K206" s="22"/>
      <c r="L206" s="15"/>
      <c r="M206" s="15"/>
    </row>
    <row r="207" spans="3:13">
      <c r="C207" s="15"/>
      <c r="D207" s="20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21"/>
      <c r="F207" s="15"/>
      <c r="G207" s="15"/>
      <c r="H207" s="15"/>
      <c r="I207" s="15"/>
      <c r="J207" s="18"/>
      <c r="K207" s="22"/>
      <c r="L207" s="15"/>
      <c r="M207" s="15"/>
    </row>
    <row r="208" spans="3:13">
      <c r="C208" s="15"/>
      <c r="D208" s="20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21"/>
      <c r="F208" s="15"/>
      <c r="G208" s="15"/>
      <c r="H208" s="15"/>
      <c r="I208" s="15"/>
      <c r="J208" s="18"/>
      <c r="K208" s="22"/>
      <c r="L208" s="15"/>
      <c r="M208" s="15"/>
    </row>
    <row r="209" spans="3:13">
      <c r="C209" s="15"/>
      <c r="D209" s="20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21"/>
      <c r="F209" s="15"/>
      <c r="G209" s="15"/>
      <c r="H209" s="15"/>
      <c r="I209" s="15"/>
      <c r="J209" s="18"/>
      <c r="K209" s="22"/>
      <c r="L209" s="15"/>
      <c r="M209" s="15"/>
    </row>
    <row r="210" spans="3:13">
      <c r="C210" s="15"/>
      <c r="D210" s="20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21"/>
      <c r="F210" s="15"/>
      <c r="G210" s="15"/>
      <c r="H210" s="15"/>
      <c r="I210" s="15"/>
      <c r="J210" s="18"/>
      <c r="K210" s="22"/>
      <c r="L210" s="15"/>
      <c r="M210" s="15"/>
    </row>
    <row r="211" spans="3:13">
      <c r="C211" s="15"/>
      <c r="D211" s="20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21"/>
      <c r="F211" s="15"/>
      <c r="G211" s="15"/>
      <c r="H211" s="15"/>
      <c r="I211" s="15"/>
      <c r="J211" s="18"/>
      <c r="K211" s="22"/>
      <c r="L211" s="15"/>
      <c r="M211" s="15"/>
    </row>
    <row r="212" spans="3:13">
      <c r="C212" s="15"/>
      <c r="D212" s="20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21"/>
      <c r="F212" s="15"/>
      <c r="G212" s="15"/>
      <c r="H212" s="15"/>
      <c r="I212" s="15"/>
      <c r="J212" s="18"/>
      <c r="K212" s="22"/>
      <c r="L212" s="15"/>
      <c r="M212" s="15"/>
    </row>
    <row r="213" spans="3:13">
      <c r="C213" s="15"/>
      <c r="D213" s="20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21"/>
      <c r="F213" s="15"/>
      <c r="G213" s="15"/>
      <c r="H213" s="15"/>
      <c r="I213" s="15"/>
      <c r="J213" s="18"/>
      <c r="K213" s="22"/>
      <c r="L213" s="15"/>
      <c r="M213" s="15"/>
    </row>
    <row r="214" spans="3:13">
      <c r="C214" s="15"/>
      <c r="D214" s="20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21"/>
      <c r="F214" s="15"/>
      <c r="G214" s="15"/>
      <c r="H214" s="15"/>
      <c r="I214" s="15"/>
      <c r="J214" s="18"/>
      <c r="K214" s="22"/>
      <c r="L214" s="15"/>
      <c r="M214" s="15"/>
    </row>
    <row r="215" spans="3:13">
      <c r="C215" s="15"/>
      <c r="D215" s="20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21"/>
      <c r="F215" s="15"/>
      <c r="G215" s="15"/>
      <c r="H215" s="15"/>
      <c r="I215" s="15"/>
      <c r="J215" s="18"/>
      <c r="K215" s="22"/>
      <c r="L215" s="15"/>
      <c r="M215" s="15"/>
    </row>
    <row r="216" spans="3:13">
      <c r="C216" s="15"/>
      <c r="D216" s="20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21"/>
      <c r="F216" s="15"/>
      <c r="G216" s="15"/>
      <c r="H216" s="15"/>
      <c r="I216" s="15"/>
      <c r="J216" s="18"/>
      <c r="K216" s="22"/>
      <c r="L216" s="15"/>
      <c r="M216" s="15"/>
    </row>
    <row r="217" spans="3:13">
      <c r="C217" s="15"/>
      <c r="D217" s="20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21"/>
      <c r="F217" s="15"/>
      <c r="G217" s="15"/>
      <c r="H217" s="15"/>
      <c r="I217" s="15"/>
      <c r="J217" s="18"/>
      <c r="K217" s="22"/>
      <c r="L217" s="15"/>
      <c r="M217" s="15"/>
    </row>
    <row r="218" spans="3:13">
      <c r="C218" s="15"/>
      <c r="D218" s="20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21"/>
      <c r="F218" s="15"/>
      <c r="G218" s="15"/>
      <c r="H218" s="15"/>
      <c r="I218" s="15"/>
      <c r="J218" s="18"/>
      <c r="K218" s="22"/>
      <c r="L218" s="15"/>
      <c r="M218" s="15"/>
    </row>
    <row r="219" spans="3:13">
      <c r="C219" s="15"/>
      <c r="D219" s="20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21"/>
      <c r="F219" s="15"/>
      <c r="G219" s="15"/>
      <c r="H219" s="15"/>
      <c r="I219" s="15"/>
      <c r="J219" s="18"/>
      <c r="K219" s="22"/>
      <c r="L219" s="15"/>
      <c r="M219" s="15"/>
    </row>
    <row r="220" spans="3:13">
      <c r="C220" s="15"/>
      <c r="D220" s="20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21"/>
      <c r="F220" s="15"/>
      <c r="G220" s="15"/>
      <c r="H220" s="15"/>
      <c r="I220" s="15"/>
      <c r="J220" s="18"/>
      <c r="K220" s="22"/>
      <c r="L220" s="15"/>
      <c r="M220" s="15"/>
    </row>
    <row r="221" spans="3:13">
      <c r="C221" s="15"/>
      <c r="D221" s="20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21"/>
      <c r="F221" s="15"/>
      <c r="G221" s="15"/>
      <c r="H221" s="15"/>
      <c r="I221" s="15"/>
      <c r="J221" s="18"/>
      <c r="K221" s="22"/>
      <c r="L221" s="15"/>
      <c r="M221" s="15"/>
    </row>
    <row r="222" spans="3:13">
      <c r="C222" s="15"/>
      <c r="D222" s="20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21"/>
      <c r="F222" s="15"/>
      <c r="G222" s="15"/>
      <c r="H222" s="15"/>
      <c r="I222" s="15"/>
      <c r="J222" s="18"/>
      <c r="K222" s="22"/>
      <c r="L222" s="15"/>
      <c r="M222" s="15"/>
    </row>
    <row r="223" spans="3:13">
      <c r="C223" s="15"/>
      <c r="D223" s="20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21"/>
      <c r="F223" s="15"/>
      <c r="G223" s="15"/>
      <c r="H223" s="15"/>
      <c r="I223" s="15"/>
      <c r="J223" s="18"/>
      <c r="K223" s="22"/>
      <c r="L223" s="15"/>
      <c r="M223" s="15"/>
    </row>
    <row r="224" spans="3:13">
      <c r="C224" s="15"/>
      <c r="D224" s="20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21"/>
      <c r="F224" s="15"/>
      <c r="G224" s="15"/>
      <c r="H224" s="15"/>
      <c r="I224" s="15"/>
      <c r="J224" s="18"/>
      <c r="K224" s="22"/>
      <c r="L224" s="15"/>
      <c r="M224" s="15"/>
    </row>
    <row r="225" spans="3:13">
      <c r="C225" s="15"/>
      <c r="D225" s="20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21"/>
      <c r="F225" s="15"/>
      <c r="G225" s="15"/>
      <c r="H225" s="15"/>
      <c r="I225" s="15"/>
      <c r="J225" s="18"/>
      <c r="K225" s="22"/>
      <c r="L225" s="15"/>
      <c r="M225" s="15"/>
    </row>
    <row r="226" spans="3:13">
      <c r="C226" s="15"/>
      <c r="D226" s="20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21"/>
      <c r="F226" s="15"/>
      <c r="G226" s="15"/>
      <c r="H226" s="15"/>
      <c r="I226" s="15"/>
      <c r="J226" s="18"/>
      <c r="K226" s="22"/>
      <c r="L226" s="15"/>
      <c r="M226" s="15"/>
    </row>
    <row r="227" spans="3:13">
      <c r="C227" s="15"/>
      <c r="D227" s="20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21"/>
      <c r="F227" s="15"/>
      <c r="G227" s="15"/>
      <c r="H227" s="15"/>
      <c r="I227" s="15"/>
      <c r="J227" s="18"/>
      <c r="K227" s="22"/>
      <c r="L227" s="15"/>
      <c r="M227" s="15"/>
    </row>
    <row r="228" spans="3:13">
      <c r="C228" s="15"/>
      <c r="D228" s="20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21"/>
      <c r="F228" s="15"/>
      <c r="G228" s="15"/>
      <c r="H228" s="15"/>
      <c r="I228" s="15"/>
      <c r="J228" s="18"/>
      <c r="K228" s="22"/>
      <c r="L228" s="15"/>
      <c r="M228" s="15"/>
    </row>
    <row r="229" spans="3:13">
      <c r="C229" s="15"/>
      <c r="D229" s="20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21"/>
      <c r="F229" s="15"/>
      <c r="G229" s="15"/>
      <c r="H229" s="15"/>
      <c r="I229" s="15"/>
      <c r="J229" s="18"/>
      <c r="K229" s="22"/>
      <c r="L229" s="15"/>
      <c r="M229" s="15"/>
    </row>
    <row r="230" spans="3:13">
      <c r="C230" s="15"/>
      <c r="D230" s="20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21"/>
      <c r="F230" s="15"/>
      <c r="G230" s="15"/>
      <c r="H230" s="15"/>
      <c r="I230" s="15"/>
      <c r="J230" s="18"/>
      <c r="K230" s="22"/>
      <c r="L230" s="15"/>
      <c r="M230" s="15"/>
    </row>
    <row r="231" spans="3:13">
      <c r="C231" s="15"/>
      <c r="D231" s="20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21"/>
      <c r="F231" s="15"/>
      <c r="G231" s="15"/>
      <c r="H231" s="15"/>
      <c r="I231" s="15"/>
      <c r="J231" s="18"/>
      <c r="K231" s="22"/>
      <c r="L231" s="15"/>
      <c r="M231" s="15"/>
    </row>
    <row r="232" spans="3:13">
      <c r="C232" s="15"/>
      <c r="D232" s="20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21"/>
      <c r="F232" s="15"/>
      <c r="G232" s="15"/>
      <c r="H232" s="15"/>
      <c r="I232" s="15"/>
      <c r="J232" s="18"/>
      <c r="K232" s="22"/>
      <c r="L232" s="15"/>
      <c r="M232" s="15"/>
    </row>
    <row r="233" spans="3:13">
      <c r="C233" s="15"/>
      <c r="D233" s="20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21"/>
      <c r="F233" s="15"/>
      <c r="G233" s="15"/>
      <c r="H233" s="15"/>
      <c r="I233" s="15"/>
      <c r="J233" s="18"/>
      <c r="K233" s="22"/>
      <c r="L233" s="15"/>
      <c r="M233" s="15"/>
    </row>
    <row r="234" spans="3:13">
      <c r="C234" s="15"/>
      <c r="D234" s="20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21"/>
      <c r="F234" s="15"/>
      <c r="G234" s="15"/>
      <c r="H234" s="15"/>
      <c r="I234" s="15"/>
      <c r="J234" s="18"/>
      <c r="K234" s="22"/>
      <c r="L234" s="15"/>
      <c r="M234" s="15"/>
    </row>
    <row r="235" spans="3:13">
      <c r="C235" s="15"/>
      <c r="D235" s="20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21"/>
      <c r="F235" s="15"/>
      <c r="G235" s="15"/>
      <c r="H235" s="15"/>
      <c r="I235" s="15"/>
      <c r="J235" s="18"/>
      <c r="K235" s="22"/>
      <c r="L235" s="15"/>
      <c r="M235" s="15"/>
    </row>
    <row r="236" spans="3:13">
      <c r="C236" s="15"/>
      <c r="D236" s="20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21"/>
      <c r="F236" s="15"/>
      <c r="G236" s="15"/>
      <c r="H236" s="15"/>
      <c r="I236" s="15"/>
      <c r="J236" s="18"/>
      <c r="K236" s="22"/>
      <c r="L236" s="15"/>
      <c r="M236" s="15"/>
    </row>
    <row r="237" spans="3:13">
      <c r="C237" s="15"/>
      <c r="D237" s="20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21"/>
      <c r="F237" s="15"/>
      <c r="G237" s="15"/>
      <c r="H237" s="15"/>
      <c r="I237" s="15"/>
      <c r="J237" s="18"/>
      <c r="K237" s="22"/>
      <c r="L237" s="15"/>
      <c r="M237" s="15"/>
    </row>
    <row r="238" spans="3:13">
      <c r="C238" s="15"/>
      <c r="D238" s="20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21"/>
      <c r="F238" s="15"/>
      <c r="G238" s="15"/>
      <c r="H238" s="15"/>
      <c r="I238" s="15"/>
      <c r="J238" s="18"/>
      <c r="K238" s="22"/>
      <c r="L238" s="15"/>
      <c r="M238" s="15"/>
    </row>
    <row r="239" spans="3:13">
      <c r="C239" s="15"/>
      <c r="D239" s="20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21"/>
      <c r="F239" s="15"/>
      <c r="G239" s="15"/>
      <c r="H239" s="15"/>
      <c r="I239" s="15"/>
      <c r="J239" s="18"/>
      <c r="K239" s="22"/>
      <c r="L239" s="15"/>
      <c r="M239" s="15"/>
    </row>
    <row r="240" spans="3:13">
      <c r="C240" s="15"/>
      <c r="D240" s="20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21"/>
      <c r="F240" s="15"/>
      <c r="G240" s="15"/>
      <c r="H240" s="15"/>
      <c r="I240" s="15"/>
      <c r="J240" s="18"/>
      <c r="K240" s="22"/>
      <c r="L240" s="15"/>
      <c r="M240" s="15"/>
    </row>
    <row r="241" spans="3:13">
      <c r="C241" s="15"/>
      <c r="D241" s="20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21"/>
      <c r="F241" s="15"/>
      <c r="G241" s="15"/>
      <c r="H241" s="15"/>
      <c r="I241" s="15"/>
      <c r="J241" s="18"/>
      <c r="K241" s="22"/>
      <c r="L241" s="15"/>
      <c r="M241" s="15"/>
    </row>
    <row r="242" spans="3:13">
      <c r="C242" s="15"/>
      <c r="D242" s="20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21"/>
      <c r="F242" s="15"/>
      <c r="G242" s="15"/>
      <c r="H242" s="15"/>
      <c r="I242" s="15"/>
      <c r="J242" s="18"/>
      <c r="K242" s="22"/>
      <c r="L242" s="15"/>
      <c r="M242" s="15"/>
    </row>
    <row r="243" spans="3:13">
      <c r="C243" s="15"/>
      <c r="D243" s="20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21"/>
      <c r="F243" s="15"/>
      <c r="G243" s="15"/>
      <c r="H243" s="15"/>
      <c r="I243" s="15"/>
      <c r="J243" s="18"/>
      <c r="K243" s="22"/>
      <c r="L243" s="15"/>
      <c r="M243" s="15"/>
    </row>
    <row r="244" spans="3:13">
      <c r="C244" s="15"/>
      <c r="D244" s="20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21"/>
      <c r="F244" s="15"/>
      <c r="G244" s="15"/>
      <c r="H244" s="15"/>
      <c r="I244" s="15"/>
      <c r="J244" s="18"/>
      <c r="K244" s="22"/>
      <c r="L244" s="15"/>
      <c r="M244" s="15"/>
    </row>
    <row r="245" spans="3:13">
      <c r="C245" s="15"/>
      <c r="D245" s="20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21"/>
      <c r="F245" s="15"/>
      <c r="G245" s="15"/>
      <c r="H245" s="15"/>
      <c r="I245" s="15"/>
      <c r="J245" s="18"/>
      <c r="K245" s="22"/>
      <c r="L245" s="15"/>
      <c r="M245" s="15"/>
    </row>
    <row r="246" spans="3:13">
      <c r="C246" s="15"/>
      <c r="D246" s="20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21"/>
      <c r="F246" s="15"/>
      <c r="G246" s="15"/>
      <c r="H246" s="15"/>
      <c r="I246" s="15"/>
      <c r="J246" s="18"/>
      <c r="K246" s="22"/>
      <c r="L246" s="15"/>
      <c r="M246" s="15"/>
    </row>
    <row r="247" spans="3:13">
      <c r="C247" s="15"/>
      <c r="D247" s="20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21"/>
      <c r="F247" s="15"/>
      <c r="G247" s="15"/>
      <c r="H247" s="15"/>
      <c r="I247" s="15"/>
      <c r="J247" s="18"/>
      <c r="K247" s="22"/>
      <c r="L247" s="15"/>
      <c r="M247" s="15"/>
    </row>
    <row r="248" spans="3:13">
      <c r="C248" s="15"/>
      <c r="D248" s="20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21"/>
      <c r="F248" s="15"/>
      <c r="G248" s="15"/>
      <c r="H248" s="15"/>
      <c r="I248" s="15"/>
      <c r="J248" s="18"/>
      <c r="K248" s="22"/>
      <c r="L248" s="15"/>
      <c r="M248" s="15"/>
    </row>
    <row r="249" spans="3:13">
      <c r="C249" s="15"/>
      <c r="D249" s="20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21"/>
      <c r="F249" s="15"/>
      <c r="G249" s="15"/>
      <c r="H249" s="15"/>
      <c r="I249" s="15"/>
      <c r="J249" s="18"/>
      <c r="K249" s="22"/>
      <c r="L249" s="15"/>
      <c r="M249" s="15"/>
    </row>
    <row r="250" spans="3:13">
      <c r="C250" s="15"/>
      <c r="D250" s="20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21"/>
      <c r="F250" s="15"/>
      <c r="G250" s="15"/>
      <c r="H250" s="15"/>
      <c r="I250" s="15"/>
      <c r="J250" s="18"/>
      <c r="K250" s="22"/>
      <c r="L250" s="15"/>
      <c r="M250" s="15"/>
    </row>
    <row r="251" spans="3:13">
      <c r="C251" s="15"/>
      <c r="D251" s="20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21"/>
      <c r="F251" s="15"/>
      <c r="G251" s="15"/>
      <c r="H251" s="15"/>
      <c r="I251" s="15"/>
      <c r="J251" s="18"/>
      <c r="K251" s="22"/>
      <c r="L251" s="15"/>
      <c r="M251" s="15"/>
    </row>
    <row r="252" spans="3:13">
      <c r="C252" s="15"/>
      <c r="D252" s="20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21"/>
      <c r="F252" s="15"/>
      <c r="G252" s="15"/>
      <c r="H252" s="15"/>
      <c r="I252" s="15"/>
      <c r="J252" s="18"/>
      <c r="K252" s="22"/>
      <c r="L252" s="15"/>
      <c r="M252" s="15"/>
    </row>
    <row r="253" spans="3:13">
      <c r="C253" s="15"/>
      <c r="D253" s="20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21"/>
      <c r="F253" s="15"/>
      <c r="G253" s="15"/>
      <c r="H253" s="15"/>
      <c r="I253" s="15"/>
      <c r="J253" s="18"/>
      <c r="K253" s="22"/>
      <c r="L253" s="15"/>
      <c r="M253" s="15"/>
    </row>
    <row r="254" spans="3:13">
      <c r="C254" s="15"/>
      <c r="D254" s="20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21"/>
      <c r="F254" s="15"/>
      <c r="G254" s="15"/>
      <c r="H254" s="15"/>
      <c r="I254" s="15"/>
      <c r="J254" s="18"/>
      <c r="K254" s="22"/>
      <c r="L254" s="15"/>
      <c r="M254" s="15"/>
    </row>
    <row r="255" spans="3:13">
      <c r="C255" s="15"/>
      <c r="D255" s="20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21"/>
      <c r="F255" s="15"/>
      <c r="G255" s="15"/>
      <c r="H255" s="15"/>
      <c r="I255" s="15"/>
      <c r="J255" s="18"/>
      <c r="K255" s="22"/>
      <c r="L255" s="15"/>
      <c r="M255" s="15"/>
    </row>
    <row r="256" spans="3:13">
      <c r="C256" s="15"/>
      <c r="D256" s="20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21"/>
      <c r="F256" s="15"/>
      <c r="G256" s="15"/>
      <c r="H256" s="15"/>
      <c r="I256" s="15"/>
      <c r="J256" s="18"/>
      <c r="K256" s="22"/>
      <c r="L256" s="15"/>
      <c r="M256" s="15"/>
    </row>
    <row r="257" spans="3:13">
      <c r="C257" s="15"/>
      <c r="D257" s="20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21"/>
      <c r="F257" s="15"/>
      <c r="G257" s="15"/>
      <c r="H257" s="15"/>
      <c r="I257" s="15"/>
      <c r="J257" s="18"/>
      <c r="K257" s="22"/>
      <c r="L257" s="15"/>
      <c r="M257" s="15"/>
    </row>
    <row r="258" spans="3:13">
      <c r="C258" s="15"/>
      <c r="D258" s="20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21"/>
      <c r="F258" s="15"/>
      <c r="G258" s="15"/>
      <c r="H258" s="15"/>
      <c r="I258" s="15"/>
      <c r="J258" s="18"/>
      <c r="K258" s="22"/>
      <c r="L258" s="15"/>
      <c r="M258" s="15"/>
    </row>
    <row r="259" spans="3:13">
      <c r="C259" s="15"/>
      <c r="D259" s="20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21"/>
      <c r="F259" s="15"/>
      <c r="G259" s="15"/>
      <c r="H259" s="15"/>
      <c r="I259" s="15"/>
      <c r="J259" s="18"/>
      <c r="K259" s="22"/>
      <c r="L259" s="15"/>
      <c r="M259" s="15"/>
    </row>
    <row r="260" spans="3:13">
      <c r="C260" s="15"/>
      <c r="D260" s="20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21"/>
      <c r="F260" s="15"/>
      <c r="G260" s="15"/>
      <c r="H260" s="15"/>
      <c r="I260" s="15"/>
      <c r="J260" s="18"/>
      <c r="K260" s="22"/>
      <c r="L260" s="15"/>
      <c r="M260" s="15"/>
    </row>
    <row r="261" spans="3:13">
      <c r="C261" s="15"/>
      <c r="D261" s="20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21"/>
      <c r="F261" s="15"/>
      <c r="G261" s="15"/>
      <c r="H261" s="15"/>
      <c r="I261" s="15"/>
      <c r="J261" s="18"/>
      <c r="K261" s="22"/>
      <c r="L261" s="15"/>
      <c r="M261" s="15"/>
    </row>
    <row r="262" spans="3:13">
      <c r="C262" s="15"/>
      <c r="D262" s="20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21"/>
      <c r="F262" s="15"/>
      <c r="G262" s="15"/>
      <c r="H262" s="15"/>
      <c r="I262" s="15"/>
      <c r="J262" s="18"/>
      <c r="K262" s="22"/>
      <c r="L262" s="15"/>
      <c r="M262" s="15"/>
    </row>
    <row r="263" spans="3:13">
      <c r="C263" s="15"/>
      <c r="D263" s="20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21"/>
      <c r="F263" s="15"/>
      <c r="G263" s="15"/>
      <c r="H263" s="15"/>
      <c r="I263" s="15"/>
      <c r="J263" s="18"/>
      <c r="K263" s="22"/>
      <c r="L263" s="15"/>
      <c r="M263" s="15"/>
    </row>
    <row r="264" spans="3:13">
      <c r="C264" s="15"/>
      <c r="D264" s="20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21"/>
      <c r="F264" s="15"/>
      <c r="G264" s="15"/>
      <c r="H264" s="15"/>
      <c r="I264" s="15"/>
      <c r="J264" s="18"/>
      <c r="K264" s="22"/>
      <c r="L264" s="15"/>
      <c r="M264" s="15"/>
    </row>
    <row r="265" spans="3:13">
      <c r="C265" s="15"/>
      <c r="D265" s="20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21"/>
      <c r="F265" s="15"/>
      <c r="G265" s="15"/>
      <c r="H265" s="15"/>
      <c r="I265" s="15"/>
      <c r="J265" s="18"/>
      <c r="K265" s="22"/>
      <c r="L265" s="15"/>
      <c r="M265" s="15"/>
    </row>
    <row r="266" spans="3:13">
      <c r="C266" s="15"/>
      <c r="D266" s="20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21"/>
      <c r="F266" s="15"/>
      <c r="G266" s="15"/>
      <c r="H266" s="15"/>
      <c r="I266" s="15"/>
      <c r="J266" s="18"/>
      <c r="K266" s="22"/>
      <c r="L266" s="15"/>
      <c r="M266" s="15"/>
    </row>
    <row r="267" spans="3:13">
      <c r="C267" s="15"/>
      <c r="D267" s="20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21"/>
      <c r="F267" s="15"/>
      <c r="G267" s="15"/>
      <c r="H267" s="15"/>
      <c r="I267" s="15"/>
      <c r="J267" s="18"/>
      <c r="K267" s="22"/>
      <c r="L267" s="15"/>
      <c r="M267" s="15"/>
    </row>
    <row r="268" spans="3:13">
      <c r="C268" s="15"/>
      <c r="D268" s="20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21"/>
      <c r="F268" s="15"/>
      <c r="G268" s="15"/>
      <c r="H268" s="15"/>
      <c r="I268" s="15"/>
      <c r="J268" s="18"/>
      <c r="K268" s="22"/>
      <c r="L268" s="15"/>
      <c r="M268" s="15"/>
    </row>
    <row r="269" spans="3:13">
      <c r="C269" s="15"/>
      <c r="D269" s="20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21"/>
      <c r="F269" s="15"/>
      <c r="G269" s="15"/>
      <c r="H269" s="15"/>
      <c r="I269" s="15"/>
      <c r="J269" s="18"/>
      <c r="K269" s="22"/>
      <c r="L269" s="15"/>
      <c r="M269" s="15"/>
    </row>
    <row r="270" spans="3:13">
      <c r="C270" s="15"/>
      <c r="D270" s="20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21"/>
      <c r="F270" s="15"/>
      <c r="G270" s="15"/>
      <c r="H270" s="15"/>
      <c r="I270" s="15"/>
      <c r="J270" s="18"/>
      <c r="K270" s="22"/>
      <c r="L270" s="15"/>
      <c r="M270" s="15"/>
    </row>
    <row r="271" spans="3:13">
      <c r="C271" s="15"/>
      <c r="D271" s="20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21"/>
      <c r="F271" s="15"/>
      <c r="G271" s="15"/>
      <c r="H271" s="15"/>
      <c r="I271" s="15"/>
      <c r="J271" s="18"/>
      <c r="K271" s="22"/>
      <c r="L271" s="15"/>
      <c r="M271" s="15"/>
    </row>
    <row r="272" spans="3:13">
      <c r="C272" s="15"/>
      <c r="D272" s="20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21"/>
      <c r="F272" s="15"/>
      <c r="G272" s="15"/>
      <c r="H272" s="15"/>
      <c r="I272" s="15"/>
      <c r="J272" s="18"/>
      <c r="K272" s="22"/>
      <c r="L272" s="15"/>
      <c r="M272" s="15"/>
    </row>
    <row r="273" spans="3:13">
      <c r="C273" s="15"/>
      <c r="D273" s="20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21"/>
      <c r="F273" s="15"/>
      <c r="G273" s="15"/>
      <c r="H273" s="15"/>
      <c r="I273" s="15"/>
      <c r="J273" s="18"/>
      <c r="K273" s="22"/>
      <c r="L273" s="15"/>
      <c r="M273" s="15"/>
    </row>
    <row r="274" spans="3:13">
      <c r="C274" s="15"/>
      <c r="D274" s="20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21"/>
      <c r="F274" s="15"/>
      <c r="G274" s="15"/>
      <c r="H274" s="15"/>
      <c r="I274" s="15"/>
      <c r="J274" s="18"/>
      <c r="K274" s="22"/>
      <c r="L274" s="15"/>
      <c r="M274" s="15"/>
    </row>
    <row r="275" spans="3:13">
      <c r="C275" s="15"/>
      <c r="D275" s="20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21"/>
      <c r="F275" s="15"/>
      <c r="G275" s="15"/>
      <c r="H275" s="15"/>
      <c r="I275" s="15"/>
      <c r="J275" s="18"/>
      <c r="K275" s="22"/>
      <c r="L275" s="15"/>
      <c r="M275" s="15"/>
    </row>
    <row r="276" spans="3:13">
      <c r="C276" s="15"/>
      <c r="D276" s="20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21"/>
      <c r="F276" s="15"/>
      <c r="G276" s="15"/>
      <c r="H276" s="15"/>
      <c r="I276" s="15"/>
      <c r="J276" s="18"/>
      <c r="K276" s="22"/>
      <c r="L276" s="15"/>
      <c r="M276" s="15"/>
    </row>
    <row r="277" spans="3:13">
      <c r="C277" s="15"/>
      <c r="D277" s="20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21"/>
      <c r="F277" s="15"/>
      <c r="G277" s="15"/>
      <c r="H277" s="15"/>
      <c r="I277" s="15"/>
      <c r="J277" s="18"/>
      <c r="K277" s="22"/>
      <c r="L277" s="15"/>
      <c r="M277" s="15"/>
    </row>
    <row r="278" spans="3:13">
      <c r="C278" s="15"/>
      <c r="D278" s="20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21"/>
      <c r="F278" s="15"/>
      <c r="G278" s="15"/>
      <c r="H278" s="15"/>
      <c r="I278" s="15"/>
      <c r="J278" s="18"/>
      <c r="K278" s="22"/>
      <c r="L278" s="15"/>
      <c r="M278" s="15"/>
    </row>
    <row r="279" spans="3:13">
      <c r="C279" s="15"/>
      <c r="D279" s="20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21"/>
      <c r="F279" s="15"/>
      <c r="G279" s="15"/>
      <c r="H279" s="15"/>
      <c r="I279" s="15"/>
      <c r="J279" s="18"/>
      <c r="K279" s="22"/>
      <c r="L279" s="15"/>
      <c r="M279" s="15"/>
    </row>
    <row r="280" spans="3:13">
      <c r="C280" s="15"/>
      <c r="D280" s="20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21"/>
      <c r="F280" s="15"/>
      <c r="G280" s="15"/>
      <c r="H280" s="15"/>
      <c r="I280" s="15"/>
      <c r="J280" s="18"/>
      <c r="K280" s="22"/>
      <c r="L280" s="15"/>
      <c r="M280" s="15"/>
    </row>
    <row r="281" spans="3:13">
      <c r="C281" s="15"/>
      <c r="D281" s="20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21"/>
      <c r="F281" s="15"/>
      <c r="G281" s="15"/>
      <c r="H281" s="15"/>
      <c r="I281" s="15"/>
      <c r="J281" s="18"/>
      <c r="K281" s="22"/>
      <c r="L281" s="15"/>
      <c r="M281" s="15"/>
    </row>
    <row r="282" spans="3:13">
      <c r="C282" s="15"/>
      <c r="D282" s="20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21"/>
      <c r="F282" s="15"/>
      <c r="G282" s="15"/>
      <c r="H282" s="15"/>
      <c r="I282" s="15"/>
      <c r="J282" s="18"/>
      <c r="K282" s="22"/>
      <c r="L282" s="15"/>
      <c r="M282" s="15"/>
    </row>
    <row r="283" spans="3:13">
      <c r="C283" s="15"/>
      <c r="D283" s="20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21"/>
      <c r="F283" s="15"/>
      <c r="G283" s="15"/>
      <c r="H283" s="15"/>
      <c r="I283" s="15"/>
      <c r="J283" s="18"/>
      <c r="K283" s="22"/>
      <c r="L283" s="15"/>
      <c r="M283" s="15"/>
    </row>
    <row r="284" spans="3:13">
      <c r="C284" s="15"/>
      <c r="D284" s="20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21"/>
      <c r="F284" s="15"/>
      <c r="G284" s="15"/>
      <c r="H284" s="15"/>
      <c r="I284" s="15"/>
      <c r="J284" s="18"/>
      <c r="K284" s="22"/>
      <c r="L284" s="15"/>
      <c r="M284" s="15"/>
    </row>
    <row r="285" spans="3:13">
      <c r="C285" s="15"/>
      <c r="D285" s="20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21"/>
      <c r="F285" s="15"/>
      <c r="G285" s="15"/>
      <c r="H285" s="15"/>
      <c r="I285" s="15"/>
      <c r="J285" s="18"/>
      <c r="K285" s="22"/>
      <c r="L285" s="15"/>
      <c r="M285" s="15"/>
    </row>
    <row r="286" spans="3:13">
      <c r="C286" s="15"/>
      <c r="D286" s="20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21"/>
      <c r="F286" s="15"/>
      <c r="G286" s="15"/>
      <c r="H286" s="15"/>
      <c r="I286" s="15"/>
      <c r="J286" s="18"/>
      <c r="K286" s="22"/>
      <c r="L286" s="15"/>
      <c r="M286" s="15"/>
    </row>
    <row r="287" spans="3:13">
      <c r="C287" s="15"/>
      <c r="D287" s="20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21"/>
      <c r="F287" s="15"/>
      <c r="G287" s="15"/>
      <c r="H287" s="15"/>
      <c r="I287" s="15"/>
      <c r="J287" s="18"/>
      <c r="K287" s="22"/>
      <c r="L287" s="15"/>
      <c r="M287" s="15"/>
    </row>
    <row r="288" spans="3:13">
      <c r="C288" s="15"/>
      <c r="D288" s="20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21"/>
      <c r="F288" s="15"/>
      <c r="G288" s="15"/>
      <c r="H288" s="15"/>
      <c r="I288" s="15"/>
      <c r="J288" s="18"/>
      <c r="K288" s="22"/>
      <c r="L288" s="15"/>
      <c r="M288" s="15"/>
    </row>
    <row r="289" spans="3:13">
      <c r="C289" s="15"/>
      <c r="D289" s="20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21"/>
      <c r="F289" s="15"/>
      <c r="G289" s="15"/>
      <c r="H289" s="15"/>
      <c r="I289" s="15"/>
      <c r="J289" s="18"/>
      <c r="K289" s="22"/>
      <c r="L289" s="15"/>
      <c r="M289" s="15"/>
    </row>
    <row r="290" spans="3:13">
      <c r="C290" s="15"/>
      <c r="D290" s="20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21"/>
      <c r="F290" s="15"/>
      <c r="G290" s="15"/>
      <c r="H290" s="15"/>
      <c r="I290" s="15"/>
      <c r="J290" s="18"/>
      <c r="K290" s="22"/>
      <c r="L290" s="15"/>
      <c r="M290" s="15"/>
    </row>
    <row r="291" spans="3:13">
      <c r="C291" s="15"/>
      <c r="D291" s="20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21"/>
      <c r="F291" s="15"/>
      <c r="G291" s="15"/>
      <c r="H291" s="15"/>
      <c r="I291" s="15"/>
      <c r="J291" s="18"/>
      <c r="K291" s="22"/>
      <c r="L291" s="15"/>
      <c r="M291" s="15"/>
    </row>
    <row r="292" spans="3:13">
      <c r="C292" s="15"/>
      <c r="D292" s="20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21"/>
      <c r="F292" s="15"/>
      <c r="G292" s="15"/>
      <c r="H292" s="15"/>
      <c r="I292" s="15"/>
      <c r="J292" s="18"/>
      <c r="K292" s="22"/>
      <c r="L292" s="15"/>
      <c r="M292" s="15"/>
    </row>
    <row r="293" spans="3:13">
      <c r="C293" s="15"/>
      <c r="D293" s="20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21"/>
      <c r="F293" s="15"/>
      <c r="G293" s="15"/>
      <c r="H293" s="15"/>
      <c r="I293" s="15"/>
      <c r="J293" s="18"/>
      <c r="K293" s="22"/>
      <c r="L293" s="15"/>
      <c r="M293" s="15"/>
    </row>
    <row r="294" spans="3:13">
      <c r="C294" s="15"/>
      <c r="D294" s="20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21"/>
      <c r="F294" s="15"/>
      <c r="G294" s="15"/>
      <c r="H294" s="15"/>
      <c r="I294" s="15"/>
      <c r="J294" s="18"/>
      <c r="K294" s="22"/>
      <c r="L294" s="15"/>
      <c r="M294" s="15"/>
    </row>
    <row r="295" spans="3:13">
      <c r="C295" s="15"/>
      <c r="D295" s="20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21"/>
      <c r="F295" s="15"/>
      <c r="G295" s="15"/>
      <c r="H295" s="15"/>
      <c r="I295" s="15"/>
      <c r="J295" s="18"/>
      <c r="K295" s="22"/>
      <c r="L295" s="15"/>
      <c r="M295" s="15"/>
    </row>
    <row r="296" spans="3:13">
      <c r="C296" s="15"/>
      <c r="D296" s="20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21"/>
      <c r="F296" s="15"/>
      <c r="G296" s="15"/>
      <c r="H296" s="15"/>
      <c r="I296" s="15"/>
      <c r="J296" s="18"/>
      <c r="K296" s="22"/>
      <c r="L296" s="15"/>
      <c r="M296" s="15"/>
    </row>
    <row r="297" spans="3:13">
      <c r="C297" s="15"/>
      <c r="D297" s="20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21"/>
      <c r="F297" s="15"/>
      <c r="G297" s="15"/>
      <c r="H297" s="15"/>
      <c r="I297" s="15"/>
      <c r="J297" s="18"/>
      <c r="K297" s="22"/>
      <c r="L297" s="15"/>
      <c r="M297" s="15"/>
    </row>
    <row r="298" spans="3:13">
      <c r="C298" s="15"/>
      <c r="D298" s="20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21"/>
      <c r="F298" s="15"/>
      <c r="G298" s="15"/>
      <c r="H298" s="15"/>
      <c r="I298" s="15"/>
      <c r="J298" s="18"/>
      <c r="K298" s="22"/>
      <c r="L298" s="15"/>
      <c r="M298" s="15"/>
    </row>
    <row r="299" spans="3:13">
      <c r="C299" s="15"/>
      <c r="D299" s="20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21"/>
      <c r="F299" s="15"/>
      <c r="G299" s="15"/>
      <c r="H299" s="15"/>
      <c r="I299" s="15"/>
      <c r="J299" s="18"/>
      <c r="K299" s="22"/>
      <c r="L299" s="15"/>
      <c r="M299" s="15"/>
    </row>
    <row r="300" spans="3:13">
      <c r="C300" s="15"/>
      <c r="D300" s="20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21"/>
      <c r="F300" s="15"/>
      <c r="G300" s="15"/>
      <c r="H300" s="15"/>
      <c r="I300" s="15"/>
      <c r="J300" s="18"/>
      <c r="K300" s="22"/>
      <c r="L300" s="15"/>
      <c r="M300" s="15"/>
    </row>
    <row r="301" spans="3:13">
      <c r="C301" s="15"/>
      <c r="D301" s="20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21"/>
      <c r="F301" s="15"/>
      <c r="G301" s="15"/>
      <c r="H301" s="15"/>
      <c r="I301" s="15"/>
      <c r="J301" s="18"/>
      <c r="K301" s="22"/>
      <c r="L301" s="15"/>
      <c r="M301" s="15"/>
    </row>
    <row r="302" spans="3:13">
      <c r="C302" s="15"/>
      <c r="D302" s="20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21"/>
      <c r="F302" s="15"/>
      <c r="G302" s="15"/>
      <c r="H302" s="15"/>
      <c r="I302" s="15"/>
      <c r="J302" s="18"/>
      <c r="K302" s="22"/>
      <c r="L302" s="15"/>
      <c r="M302" s="15"/>
    </row>
    <row r="303" spans="3:13">
      <c r="C303" s="15"/>
      <c r="D303" s="20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21"/>
      <c r="F303" s="15"/>
      <c r="G303" s="15"/>
      <c r="H303" s="15"/>
      <c r="I303" s="15"/>
      <c r="J303" s="18"/>
      <c r="K303" s="22"/>
      <c r="L303" s="15"/>
      <c r="M303" s="15"/>
    </row>
    <row r="304" spans="3:13">
      <c r="C304" s="15"/>
      <c r="D304" s="20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21"/>
      <c r="F304" s="15"/>
      <c r="G304" s="15"/>
      <c r="H304" s="15"/>
      <c r="I304" s="15"/>
      <c r="J304" s="18"/>
      <c r="K304" s="22"/>
      <c r="L304" s="15"/>
      <c r="M304" s="15"/>
    </row>
    <row r="305" spans="3:13">
      <c r="C305" s="15"/>
      <c r="D305" s="20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21"/>
      <c r="F305" s="15"/>
      <c r="G305" s="15"/>
      <c r="H305" s="15"/>
      <c r="I305" s="15"/>
      <c r="J305" s="18"/>
      <c r="K305" s="22"/>
      <c r="L305" s="15"/>
      <c r="M305" s="15"/>
    </row>
    <row r="306" spans="3:13">
      <c r="C306" s="15"/>
      <c r="D306" s="20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21"/>
      <c r="F306" s="15"/>
      <c r="G306" s="15"/>
      <c r="H306" s="15"/>
      <c r="I306" s="15"/>
      <c r="J306" s="18"/>
      <c r="K306" s="22"/>
      <c r="L306" s="15"/>
      <c r="M306" s="15"/>
    </row>
    <row r="307" spans="3:13">
      <c r="C307" s="15"/>
      <c r="D307" s="20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21"/>
      <c r="F307" s="15"/>
      <c r="G307" s="15"/>
      <c r="H307" s="15"/>
      <c r="I307" s="15"/>
      <c r="J307" s="18"/>
      <c r="K307" s="22"/>
      <c r="L307" s="15"/>
      <c r="M307" s="15"/>
    </row>
    <row r="308" spans="3:13">
      <c r="C308" s="15"/>
      <c r="D308" s="20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21"/>
      <c r="F308" s="15"/>
      <c r="G308" s="15"/>
      <c r="H308" s="15"/>
      <c r="I308" s="15"/>
      <c r="J308" s="18"/>
      <c r="K308" s="22"/>
      <c r="L308" s="15"/>
      <c r="M308" s="15"/>
    </row>
    <row r="309" spans="3:13">
      <c r="C309" s="15"/>
      <c r="D309" s="20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21"/>
      <c r="F309" s="15"/>
      <c r="G309" s="15"/>
      <c r="H309" s="15"/>
      <c r="I309" s="15"/>
      <c r="J309" s="18"/>
      <c r="K309" s="22"/>
      <c r="L309" s="15"/>
      <c r="M309" s="15"/>
    </row>
    <row r="310" spans="3:13">
      <c r="C310" s="15"/>
      <c r="D310" s="20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21"/>
      <c r="F310" s="15"/>
      <c r="G310" s="15"/>
      <c r="H310" s="15"/>
      <c r="I310" s="15"/>
      <c r="J310" s="18"/>
      <c r="K310" s="22"/>
      <c r="L310" s="15"/>
      <c r="M310" s="15"/>
    </row>
    <row r="311" spans="3:13">
      <c r="C311" s="15"/>
      <c r="D311" s="20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21"/>
      <c r="F311" s="15"/>
      <c r="G311" s="15"/>
      <c r="H311" s="15"/>
      <c r="I311" s="15"/>
      <c r="J311" s="18"/>
      <c r="K311" s="22"/>
      <c r="L311" s="15"/>
      <c r="M311" s="15"/>
    </row>
    <row r="312" spans="3:13">
      <c r="C312" s="15"/>
      <c r="D312" s="20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21"/>
      <c r="F312" s="15"/>
      <c r="G312" s="15"/>
      <c r="H312" s="15"/>
      <c r="I312" s="15"/>
      <c r="J312" s="18"/>
      <c r="K312" s="22"/>
      <c r="L312" s="15"/>
      <c r="M312" s="15"/>
    </row>
    <row r="313" spans="3:13">
      <c r="C313" s="15"/>
      <c r="D313" s="20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21"/>
      <c r="F313" s="15"/>
      <c r="G313" s="15"/>
      <c r="H313" s="15"/>
      <c r="I313" s="15"/>
      <c r="J313" s="18"/>
      <c r="K313" s="22"/>
      <c r="L313" s="15"/>
      <c r="M313" s="15"/>
    </row>
    <row r="314" spans="3:13">
      <c r="C314" s="15"/>
      <c r="D314" s="20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21"/>
      <c r="F314" s="15"/>
      <c r="G314" s="15"/>
      <c r="H314" s="15"/>
      <c r="I314" s="15"/>
      <c r="J314" s="18"/>
      <c r="K314" s="22"/>
      <c r="L314" s="15"/>
      <c r="M314" s="15"/>
    </row>
    <row r="315" spans="3:13">
      <c r="C315" s="15"/>
      <c r="D315" s="20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21"/>
      <c r="F315" s="15"/>
      <c r="G315" s="15"/>
      <c r="H315" s="15"/>
      <c r="I315" s="15"/>
      <c r="J315" s="18"/>
      <c r="K315" s="22"/>
      <c r="L315" s="15"/>
      <c r="M315" s="15"/>
    </row>
    <row r="316" spans="3:13">
      <c r="C316" s="15"/>
      <c r="D316" s="20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21"/>
      <c r="F316" s="15"/>
      <c r="G316" s="15"/>
      <c r="H316" s="15"/>
      <c r="I316" s="15"/>
      <c r="J316" s="18"/>
      <c r="K316" s="22"/>
      <c r="L316" s="15"/>
      <c r="M316" s="15"/>
    </row>
    <row r="317" spans="3:13">
      <c r="C317" s="15"/>
      <c r="D317" s="20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21"/>
      <c r="F317" s="15"/>
      <c r="G317" s="15"/>
      <c r="H317" s="15"/>
      <c r="I317" s="15"/>
      <c r="J317" s="18"/>
      <c r="K317" s="22"/>
      <c r="L317" s="15"/>
      <c r="M317" s="15"/>
    </row>
    <row r="318" spans="3:13">
      <c r="C318" s="15"/>
      <c r="D318" s="20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21"/>
      <c r="F318" s="15"/>
      <c r="G318" s="15"/>
      <c r="H318" s="15"/>
      <c r="I318" s="15"/>
      <c r="J318" s="18"/>
      <c r="K318" s="22"/>
      <c r="L318" s="15"/>
      <c r="M318" s="15"/>
    </row>
    <row r="319" spans="3:13">
      <c r="C319" s="15"/>
      <c r="D319" s="20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21"/>
      <c r="F319" s="15"/>
      <c r="G319" s="15"/>
      <c r="H319" s="15"/>
      <c r="I319" s="15"/>
      <c r="J319" s="18"/>
      <c r="K319" s="22"/>
      <c r="L319" s="15"/>
      <c r="M319" s="15"/>
    </row>
    <row r="320" spans="3:13">
      <c r="C320" s="15"/>
      <c r="D320" s="20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21"/>
      <c r="F320" s="15"/>
      <c r="G320" s="15"/>
      <c r="H320" s="15"/>
      <c r="I320" s="15"/>
      <c r="J320" s="18"/>
      <c r="K320" s="22"/>
      <c r="L320" s="15"/>
      <c r="M320" s="15"/>
    </row>
    <row r="321" spans="3:13">
      <c r="C321" s="15"/>
      <c r="D321" s="20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21"/>
      <c r="F321" s="15"/>
      <c r="G321" s="15"/>
      <c r="H321" s="15"/>
      <c r="I321" s="15"/>
      <c r="J321" s="18"/>
      <c r="K321" s="22"/>
      <c r="L321" s="15"/>
      <c r="M321" s="15"/>
    </row>
    <row r="322" spans="3:13">
      <c r="C322" s="15"/>
      <c r="D322" s="20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21"/>
      <c r="F322" s="15"/>
      <c r="G322" s="15"/>
      <c r="H322" s="15"/>
      <c r="I322" s="15"/>
      <c r="J322" s="18"/>
      <c r="K322" s="22"/>
      <c r="L322" s="15"/>
      <c r="M322" s="15"/>
    </row>
    <row r="323" spans="3:13">
      <c r="C323" s="15"/>
      <c r="D323" s="20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21"/>
      <c r="F323" s="15"/>
      <c r="G323" s="15"/>
      <c r="H323" s="15"/>
      <c r="I323" s="15"/>
      <c r="J323" s="18"/>
      <c r="K323" s="22"/>
      <c r="L323" s="15"/>
      <c r="M323" s="15"/>
    </row>
    <row r="324" spans="3:13">
      <c r="C324" s="15"/>
      <c r="D324" s="20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21"/>
      <c r="F324" s="15"/>
      <c r="G324" s="15"/>
      <c r="H324" s="15"/>
      <c r="I324" s="15"/>
      <c r="J324" s="18"/>
      <c r="K324" s="22"/>
      <c r="L324" s="15"/>
      <c r="M324" s="15"/>
    </row>
    <row r="325" spans="3:13">
      <c r="C325" s="15"/>
      <c r="D325" s="20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21"/>
      <c r="F325" s="15"/>
      <c r="G325" s="15"/>
      <c r="H325" s="15"/>
      <c r="I325" s="15"/>
      <c r="J325" s="18"/>
      <c r="K325" s="22"/>
      <c r="L325" s="15"/>
      <c r="M325" s="15"/>
    </row>
    <row r="326" spans="3:13">
      <c r="C326" s="15"/>
      <c r="D326" s="20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21"/>
      <c r="F326" s="15"/>
      <c r="G326" s="15"/>
      <c r="H326" s="15"/>
      <c r="I326" s="15"/>
      <c r="J326" s="18"/>
      <c r="K326" s="22"/>
      <c r="L326" s="15"/>
      <c r="M326" s="15"/>
    </row>
    <row r="327" spans="3:13">
      <c r="C327" s="15"/>
      <c r="D327" s="20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21"/>
      <c r="F327" s="15"/>
      <c r="G327" s="15"/>
      <c r="H327" s="15"/>
      <c r="I327" s="15"/>
      <c r="J327" s="18"/>
      <c r="K327" s="22"/>
      <c r="L327" s="15"/>
      <c r="M327" s="15"/>
    </row>
    <row r="328" spans="3:13">
      <c r="C328" s="15"/>
      <c r="D328" s="20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21"/>
      <c r="F328" s="15"/>
      <c r="G328" s="15"/>
      <c r="H328" s="15"/>
      <c r="I328" s="15"/>
      <c r="J328" s="18"/>
      <c r="K328" s="22"/>
      <c r="L328" s="15"/>
      <c r="M328" s="15"/>
    </row>
    <row r="329" spans="3:13">
      <c r="C329" s="15"/>
      <c r="D329" s="20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21"/>
      <c r="F329" s="15"/>
      <c r="G329" s="15"/>
      <c r="H329" s="15"/>
      <c r="I329" s="15"/>
      <c r="J329" s="18"/>
      <c r="K329" s="22"/>
      <c r="L329" s="15"/>
      <c r="M329" s="15"/>
    </row>
    <row r="330" spans="3:13">
      <c r="C330" s="15"/>
      <c r="D330" s="20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21"/>
      <c r="F330" s="15"/>
      <c r="G330" s="15"/>
      <c r="H330" s="15"/>
      <c r="I330" s="15"/>
      <c r="J330" s="18"/>
      <c r="K330" s="22"/>
      <c r="L330" s="15"/>
      <c r="M330" s="15"/>
    </row>
    <row r="331" spans="3:13">
      <c r="C331" s="15"/>
      <c r="D331" s="20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21"/>
      <c r="F331" s="15"/>
      <c r="G331" s="15"/>
      <c r="H331" s="15"/>
      <c r="I331" s="15"/>
      <c r="J331" s="18"/>
      <c r="K331" s="22"/>
      <c r="L331" s="15"/>
      <c r="M331" s="15"/>
    </row>
    <row r="332" spans="3:13">
      <c r="C332" s="15"/>
      <c r="D332" s="20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21"/>
      <c r="F332" s="15"/>
      <c r="G332" s="15"/>
      <c r="H332" s="15"/>
      <c r="I332" s="15"/>
      <c r="J332" s="18"/>
      <c r="K332" s="22"/>
      <c r="L332" s="15"/>
      <c r="M332" s="15"/>
    </row>
    <row r="333" spans="3:13">
      <c r="C333" s="15"/>
      <c r="D333" s="20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21"/>
      <c r="F333" s="15"/>
      <c r="G333" s="15"/>
      <c r="H333" s="15"/>
      <c r="I333" s="15"/>
      <c r="J333" s="18"/>
      <c r="K333" s="22"/>
      <c r="L333" s="15"/>
      <c r="M333" s="15"/>
    </row>
    <row r="334" spans="3:13">
      <c r="C334" s="15"/>
      <c r="D334" s="20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21"/>
      <c r="F334" s="15"/>
      <c r="G334" s="15"/>
      <c r="H334" s="15"/>
      <c r="I334" s="15"/>
      <c r="J334" s="18"/>
      <c r="K334" s="22"/>
      <c r="L334" s="15"/>
      <c r="M334" s="15"/>
    </row>
    <row r="335" spans="3:13">
      <c r="C335" s="15"/>
      <c r="D335" s="20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21"/>
      <c r="F335" s="15"/>
      <c r="G335" s="15"/>
      <c r="H335" s="15"/>
      <c r="I335" s="15"/>
      <c r="J335" s="18"/>
      <c r="K335" s="22"/>
      <c r="L335" s="15"/>
      <c r="M335" s="15"/>
    </row>
    <row r="336" spans="3:13">
      <c r="C336" s="15"/>
      <c r="D336" s="20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21"/>
      <c r="F336" s="15"/>
      <c r="G336" s="15"/>
      <c r="H336" s="15"/>
      <c r="I336" s="15"/>
      <c r="J336" s="18"/>
      <c r="K336" s="22"/>
      <c r="L336" s="15"/>
      <c r="M336" s="15"/>
    </row>
    <row r="337" spans="3:13">
      <c r="C337" s="15"/>
      <c r="D337" s="20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21"/>
      <c r="F337" s="15"/>
      <c r="G337" s="15"/>
      <c r="H337" s="15"/>
      <c r="I337" s="15"/>
      <c r="J337" s="18"/>
      <c r="K337" s="22"/>
      <c r="L337" s="15"/>
      <c r="M337" s="15"/>
    </row>
    <row r="338" spans="3:13">
      <c r="C338" s="15"/>
      <c r="D338" s="20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21"/>
      <c r="F338" s="15"/>
      <c r="G338" s="15"/>
      <c r="H338" s="15"/>
      <c r="I338" s="15"/>
      <c r="J338" s="18"/>
      <c r="K338" s="22"/>
      <c r="L338" s="15"/>
      <c r="M338" s="15"/>
    </row>
    <row r="339" spans="3:13">
      <c r="C339" s="15"/>
      <c r="D339" s="20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21"/>
      <c r="F339" s="15"/>
      <c r="G339" s="15"/>
      <c r="H339" s="15"/>
      <c r="I339" s="15"/>
      <c r="J339" s="18"/>
      <c r="K339" s="22"/>
      <c r="L339" s="15"/>
      <c r="M339" s="15"/>
    </row>
    <row r="340" spans="3:13">
      <c r="C340" s="15"/>
      <c r="D340" s="20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21"/>
      <c r="F340" s="15"/>
      <c r="G340" s="15"/>
      <c r="H340" s="15"/>
      <c r="I340" s="15"/>
      <c r="J340" s="18"/>
      <c r="K340" s="22"/>
      <c r="L340" s="15"/>
      <c r="M340" s="15"/>
    </row>
    <row r="341" spans="3:13">
      <c r="C341" s="15"/>
      <c r="D341" s="20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21"/>
      <c r="F341" s="15"/>
      <c r="G341" s="15"/>
      <c r="H341" s="15"/>
      <c r="I341" s="15"/>
      <c r="J341" s="18"/>
      <c r="K341" s="22"/>
      <c r="L341" s="15"/>
      <c r="M341" s="15"/>
    </row>
    <row r="342" spans="3:13">
      <c r="C342" s="15"/>
      <c r="D342" s="20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21"/>
      <c r="F342" s="15"/>
      <c r="G342" s="15"/>
      <c r="H342" s="15"/>
      <c r="I342" s="15"/>
      <c r="J342" s="18"/>
      <c r="K342" s="22"/>
      <c r="L342" s="15"/>
      <c r="M342" s="15"/>
    </row>
    <row r="343" spans="3:13">
      <c r="C343" s="15"/>
      <c r="D343" s="20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21"/>
      <c r="F343" s="15"/>
      <c r="G343" s="15"/>
      <c r="H343" s="15"/>
      <c r="I343" s="15"/>
      <c r="J343" s="18"/>
      <c r="K343" s="22"/>
      <c r="L343" s="15"/>
      <c r="M343" s="15"/>
    </row>
    <row r="344" spans="3:13">
      <c r="D344" s="20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6"/>
    </row>
    <row r="345" spans="3:13">
      <c r="D345" s="20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6"/>
    </row>
    <row r="346" spans="3:13">
      <c r="D346" s="20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6"/>
    </row>
    <row r="347" spans="3:13">
      <c r="D347" s="20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6"/>
    </row>
    <row r="348" spans="3:13">
      <c r="D348" s="20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6"/>
    </row>
    <row r="349" spans="3:13">
      <c r="D349" s="20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6"/>
    </row>
    <row r="350" spans="3:13">
      <c r="D350" s="20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6"/>
    </row>
    <row r="351" spans="3:13">
      <c r="D351" s="20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6"/>
    </row>
    <row r="352" spans="3:13">
      <c r="D352" s="20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6"/>
    </row>
    <row r="353" spans="4:5">
      <c r="D353" s="20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6"/>
    </row>
    <row r="354" spans="4:5">
      <c r="D354" s="20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6"/>
    </row>
    <row r="355" spans="4:5">
      <c r="D355" s="20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6"/>
    </row>
    <row r="356" spans="4:5">
      <c r="D356" s="20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6"/>
    </row>
    <row r="357" spans="4:5">
      <c r="D357" s="20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6"/>
    </row>
    <row r="358" spans="4:5">
      <c r="D358" s="20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6"/>
    </row>
    <row r="359" spans="4:5">
      <c r="D359" s="20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6"/>
    </row>
    <row r="360" spans="4:5">
      <c r="D360" s="20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6"/>
    </row>
    <row r="361" spans="4:5">
      <c r="D361" s="20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6"/>
    </row>
    <row r="362" spans="4:5">
      <c r="D362" s="20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6"/>
    </row>
    <row r="363" spans="4:5">
      <c r="D363" s="20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6"/>
    </row>
    <row r="364" spans="4:5">
      <c r="D364" s="20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6"/>
    </row>
    <row r="365" spans="4:5">
      <c r="D365" s="20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6"/>
    </row>
    <row r="366" spans="4:5">
      <c r="D366" s="20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6"/>
    </row>
    <row r="367" spans="4:5">
      <c r="D367" s="20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6"/>
    </row>
    <row r="368" spans="4:5">
      <c r="D368" s="20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6"/>
    </row>
    <row r="369" spans="4:5">
      <c r="D369" s="20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6"/>
    </row>
    <row r="370" spans="4:5">
      <c r="D370" s="20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6"/>
    </row>
    <row r="371" spans="4:5">
      <c r="D371" s="20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6"/>
    </row>
    <row r="372" spans="4:5">
      <c r="D372" s="20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6"/>
    </row>
    <row r="373" spans="4:5">
      <c r="D373" s="20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6"/>
    </row>
    <row r="374" spans="4:5">
      <c r="D374" s="20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6"/>
    </row>
    <row r="375" spans="4:5">
      <c r="D375" s="20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6"/>
    </row>
    <row r="376" spans="4:5">
      <c r="D376" s="20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6"/>
    </row>
    <row r="377" spans="4:5">
      <c r="D377" s="20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6"/>
    </row>
    <row r="378" spans="4:5">
      <c r="D378" s="20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6"/>
    </row>
    <row r="379" spans="4:5">
      <c r="D379" s="20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6"/>
    </row>
    <row r="380" spans="4:5">
      <c r="D380" s="20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6"/>
    </row>
    <row r="381" spans="4:5">
      <c r="D381" s="20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6"/>
    </row>
    <row r="382" spans="4:5">
      <c r="D382" s="20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6"/>
    </row>
    <row r="383" spans="4:5">
      <c r="D383" s="20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6"/>
    </row>
    <row r="384" spans="4:5">
      <c r="D384" s="20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6"/>
    </row>
    <row r="385" spans="4:5">
      <c r="D385" s="20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6"/>
    </row>
    <row r="386" spans="4:5">
      <c r="D386" s="20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6"/>
    </row>
    <row r="387" spans="4:5">
      <c r="D387" s="20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6"/>
    </row>
    <row r="388" spans="4:5">
      <c r="D388" s="20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6"/>
    </row>
    <row r="389" spans="4:5">
      <c r="D389" s="20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6"/>
    </row>
    <row r="390" spans="4:5">
      <c r="D390" s="20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6"/>
    </row>
    <row r="391" spans="4:5">
      <c r="D391" s="20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6"/>
    </row>
    <row r="392" spans="4:5">
      <c r="D392" s="20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6"/>
    </row>
    <row r="393" spans="4:5">
      <c r="D393" s="20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6"/>
    </row>
    <row r="394" spans="4:5">
      <c r="D394" s="20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6"/>
    </row>
    <row r="395" spans="4:5">
      <c r="D395" s="20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6"/>
    </row>
    <row r="396" spans="4:5">
      <c r="D396" s="20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6"/>
    </row>
    <row r="397" spans="4:5">
      <c r="D397" s="20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6"/>
    </row>
    <row r="398" spans="4:5">
      <c r="D398" s="20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6"/>
    </row>
    <row r="399" spans="4:5">
      <c r="D399" s="20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6"/>
    </row>
    <row r="400" spans="4:5">
      <c r="D400" s="20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6"/>
    </row>
    <row r="401" spans="4:5">
      <c r="D401" s="20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6"/>
    </row>
    <row r="402" spans="4:5">
      <c r="D402" s="20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6"/>
    </row>
    <row r="403" spans="4:5">
      <c r="D403" s="20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6"/>
    </row>
    <row r="404" spans="4:5">
      <c r="D404" s="20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6"/>
    </row>
    <row r="405" spans="4:5">
      <c r="D405" s="20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6"/>
    </row>
    <row r="406" spans="4:5">
      <c r="D406" s="20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6"/>
    </row>
    <row r="407" spans="4:5">
      <c r="D407" s="20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6"/>
    </row>
    <row r="408" spans="4:5">
      <c r="D408" s="20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6"/>
    </row>
    <row r="409" spans="4:5">
      <c r="D409" s="20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6"/>
    </row>
    <row r="410" spans="4:5">
      <c r="D410" s="20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6"/>
    </row>
    <row r="411" spans="4:5">
      <c r="D411" s="20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6"/>
    </row>
    <row r="412" spans="4:5">
      <c r="D412" s="20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6"/>
    </row>
    <row r="413" spans="4:5">
      <c r="D413" s="20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6"/>
    </row>
    <row r="414" spans="4:5">
      <c r="D414" s="20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6"/>
    </row>
    <row r="415" spans="4:5">
      <c r="D415" s="20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6"/>
    </row>
    <row r="416" spans="4:5">
      <c r="D416" s="20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6"/>
    </row>
    <row r="417" spans="4:5">
      <c r="D417" s="20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6"/>
    </row>
    <row r="418" spans="4:5">
      <c r="D418" s="20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6"/>
    </row>
    <row r="419" spans="4:5">
      <c r="D419" s="20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6"/>
    </row>
    <row r="420" spans="4:5">
      <c r="D420" s="20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6"/>
    </row>
    <row r="421" spans="4:5">
      <c r="D421" s="20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6"/>
    </row>
    <row r="422" spans="4:5">
      <c r="D422" s="20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6"/>
    </row>
    <row r="423" spans="4:5">
      <c r="D423" s="20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6"/>
    </row>
    <row r="424" spans="4:5">
      <c r="D424" s="20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6"/>
    </row>
    <row r="425" spans="4:5">
      <c r="D425" s="20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6"/>
    </row>
    <row r="426" spans="4:5">
      <c r="D426" s="20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6"/>
    </row>
    <row r="427" spans="4:5">
      <c r="D427" s="20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6"/>
    </row>
    <row r="428" spans="4:5">
      <c r="D428" s="20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6"/>
    </row>
    <row r="429" spans="4:5">
      <c r="D429" s="20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6"/>
    </row>
    <row r="430" spans="4:5">
      <c r="D430" s="20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6"/>
    </row>
    <row r="431" spans="4:5">
      <c r="D431" s="20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6"/>
    </row>
    <row r="432" spans="4:5">
      <c r="D432" s="20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6"/>
    </row>
    <row r="433" spans="4:5">
      <c r="D433" s="20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6"/>
    </row>
    <row r="434" spans="4:5">
      <c r="D434" s="20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6"/>
    </row>
    <row r="435" spans="4:5">
      <c r="D435" s="20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6"/>
    </row>
    <row r="436" spans="4:5">
      <c r="D436" s="20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6"/>
    </row>
    <row r="437" spans="4:5">
      <c r="D437" s="20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6"/>
    </row>
    <row r="438" spans="4:5">
      <c r="D438" s="20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6"/>
    </row>
    <row r="439" spans="4:5">
      <c r="D439" s="20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6"/>
    </row>
    <row r="440" spans="4:5">
      <c r="D440" s="20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6"/>
    </row>
    <row r="441" spans="4:5">
      <c r="D441" s="20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6"/>
    </row>
    <row r="442" spans="4:5">
      <c r="D442" s="20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6"/>
    </row>
    <row r="443" spans="4:5">
      <c r="D443" s="20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6"/>
    </row>
    <row r="444" spans="4:5">
      <c r="D444" s="20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6"/>
    </row>
    <row r="445" spans="4:5">
      <c r="D445" s="20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6"/>
    </row>
    <row r="446" spans="4:5">
      <c r="D446" s="20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6"/>
    </row>
    <row r="447" spans="4:5">
      <c r="D447" s="20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6"/>
    </row>
    <row r="448" spans="4:5">
      <c r="D448" s="20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6"/>
    </row>
    <row r="449" spans="4:5">
      <c r="D449" s="20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6"/>
    </row>
    <row r="450" spans="4:5">
      <c r="D450" s="20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6"/>
    </row>
    <row r="451" spans="4:5">
      <c r="D451" s="20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6"/>
    </row>
    <row r="452" spans="4:5">
      <c r="D452" s="20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6"/>
    </row>
    <row r="453" spans="4:5">
      <c r="D453" s="20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6"/>
    </row>
    <row r="454" spans="4:5">
      <c r="D454" s="20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6"/>
    </row>
    <row r="455" spans="4:5">
      <c r="D455" s="20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6"/>
    </row>
    <row r="456" spans="4:5">
      <c r="D456" s="20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6"/>
    </row>
    <row r="457" spans="4:5">
      <c r="D457" s="20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6"/>
    </row>
    <row r="458" spans="4:5">
      <c r="D458" s="20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</row>
    <row r="459" spans="4:5">
      <c r="D459" s="20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</row>
    <row r="460" spans="4:5">
      <c r="D460" s="20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</row>
    <row r="461" spans="4:5">
      <c r="D461" s="20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</row>
    <row r="462" spans="4:5">
      <c r="D462" s="20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</row>
    <row r="463" spans="4:5">
      <c r="D463" s="20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</row>
    <row r="464" spans="4:5">
      <c r="D464" s="20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</row>
    <row r="465" spans="4:4">
      <c r="D465" s="20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</row>
    <row r="466" spans="4:4">
      <c r="D466" s="20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</row>
    <row r="467" spans="4:4">
      <c r="D467" s="20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</row>
    <row r="468" spans="4:4">
      <c r="D468" s="20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</row>
    <row r="469" spans="4:4">
      <c r="D469" s="20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</row>
    <row r="470" spans="4:4">
      <c r="D470" s="20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</row>
    <row r="471" spans="4:4">
      <c r="D471" s="20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</row>
    <row r="472" spans="4:4">
      <c r="D472" s="20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</row>
    <row r="473" spans="4:4">
      <c r="D473" s="20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</row>
    <row r="474" spans="4:4">
      <c r="D474" s="20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</row>
    <row r="475" spans="4:4">
      <c r="D475" s="20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</row>
    <row r="476" spans="4:4">
      <c r="D476" s="20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</row>
    <row r="477" spans="4:4">
      <c r="D477" s="20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</row>
    <row r="478" spans="4:4">
      <c r="D478" s="20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</row>
    <row r="479" spans="4:4">
      <c r="D479" s="20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</row>
    <row r="480" spans="4:4">
      <c r="D480" s="20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</row>
    <row r="481" spans="4:4">
      <c r="D481" s="20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</row>
    <row r="482" spans="4:4">
      <c r="D482" s="20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</row>
    <row r="483" spans="4:4">
      <c r="D483" s="20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</row>
    <row r="484" spans="4:4">
      <c r="D484" s="20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</row>
    <row r="485" spans="4:4">
      <c r="D485" s="20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</row>
    <row r="486" spans="4:4">
      <c r="D486" s="20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</row>
    <row r="487" spans="4:4">
      <c r="D487" s="20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</row>
    <row r="488" spans="4:4">
      <c r="D488" s="20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</row>
    <row r="489" spans="4:4">
      <c r="D489" s="20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</row>
    <row r="490" spans="4:4">
      <c r="D490" s="20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</row>
    <row r="491" spans="4:4">
      <c r="D491" s="20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</row>
    <row r="492" spans="4:4">
      <c r="D492" s="20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</row>
    <row r="493" spans="4:4">
      <c r="D493" s="20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</row>
    <row r="494" spans="4:4">
      <c r="D494" s="20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</row>
    <row r="495" spans="4:4">
      <c r="D495" s="20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</row>
    <row r="496" spans="4:4">
      <c r="D496" s="20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</row>
    <row r="497" spans="4:4">
      <c r="D497" s="20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</row>
    <row r="498" spans="4:4">
      <c r="D498" s="20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</row>
    <row r="499" spans="4:4">
      <c r="D499" s="20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</row>
    <row r="500" spans="4:4">
      <c r="D500" s="20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</row>
    <row r="501" spans="4:4">
      <c r="D501" s="20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</row>
    <row r="502" spans="4:4">
      <c r="D502" s="20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</row>
    <row r="503" spans="4:4">
      <c r="D503" s="20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</row>
    <row r="504" spans="4:4">
      <c r="D504" s="20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</row>
    <row r="505" spans="4:4">
      <c r="D505" s="20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</row>
    <row r="506" spans="4:4">
      <c r="D506" s="20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</row>
    <row r="507" spans="4:4">
      <c r="D507" s="20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</row>
    <row r="508" spans="4:4">
      <c r="D508" s="20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</row>
    <row r="509" spans="4:4">
      <c r="D509" s="20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</row>
    <row r="510" spans="4:4">
      <c r="D510" s="20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</row>
    <row r="511" spans="4:4">
      <c r="D511" s="20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</row>
    <row r="512" spans="4:4">
      <c r="D512" s="20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</row>
    <row r="513" spans="4:4">
      <c r="D513" s="20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</row>
    <row r="514" spans="4:4">
      <c r="D514" s="20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</row>
    <row r="515" spans="4:4">
      <c r="D515" s="20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</row>
    <row r="516" spans="4:4">
      <c r="D516" s="20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</row>
    <row r="517" spans="4:4">
      <c r="D517" s="20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</row>
    <row r="518" spans="4:4">
      <c r="D518" s="20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</row>
    <row r="519" spans="4:4">
      <c r="D519" s="20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</row>
    <row r="520" spans="4:4">
      <c r="D520" s="20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</row>
    <row r="521" spans="4:4">
      <c r="D521" s="20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</row>
    <row r="522" spans="4:4">
      <c r="D522" s="20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</row>
    <row r="523" spans="4:4">
      <c r="D523" s="20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</row>
    <row r="524" spans="4:4">
      <c r="D524" s="20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</row>
    <row r="525" spans="4:4">
      <c r="D525" s="20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</row>
    <row r="526" spans="4:4">
      <c r="D526" s="20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</row>
    <row r="527" spans="4:4">
      <c r="D527" s="20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</row>
    <row r="528" spans="4:4">
      <c r="D528" s="20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</row>
    <row r="529" spans="4:4">
      <c r="D529" s="20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</row>
    <row r="530" spans="4:4">
      <c r="D530" s="20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</row>
    <row r="531" spans="4:4">
      <c r="D531" s="20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</row>
    <row r="532" spans="4:4">
      <c r="D532" s="20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</row>
    <row r="533" spans="4:4">
      <c r="D533" s="20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</row>
    <row r="534" spans="4:4">
      <c r="D534" s="20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</row>
    <row r="535" spans="4:4">
      <c r="D535" s="20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</row>
    <row r="536" spans="4:4">
      <c r="D536" s="20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</row>
    <row r="537" spans="4:4">
      <c r="D537" s="20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</row>
    <row r="538" spans="4:4">
      <c r="D538" s="20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</row>
    <row r="539" spans="4:4">
      <c r="D539" s="20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</row>
    <row r="540" spans="4:4">
      <c r="D540" s="20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</row>
    <row r="541" spans="4:4">
      <c r="D541" s="20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</row>
    <row r="542" spans="4:4">
      <c r="D542" s="20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</row>
    <row r="543" spans="4:4">
      <c r="D543" s="20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</row>
    <row r="544" spans="4:4">
      <c r="D544" s="20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</row>
    <row r="545" spans="4:4">
      <c r="D545" s="20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</row>
    <row r="546" spans="4:4">
      <c r="D546" s="20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</row>
    <row r="547" spans="4:4">
      <c r="D547" s="20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</row>
    <row r="548" spans="4:4">
      <c r="D548" s="20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</row>
    <row r="549" spans="4:4">
      <c r="D549" s="20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</row>
    <row r="550" spans="4:4">
      <c r="D550" s="20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</row>
    <row r="551" spans="4:4">
      <c r="D551" s="20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</row>
    <row r="552" spans="4:4">
      <c r="D552" s="20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</row>
    <row r="553" spans="4:4">
      <c r="D553" s="20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</row>
    <row r="554" spans="4:4">
      <c r="D554" s="20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</row>
    <row r="555" spans="4:4">
      <c r="D555" s="20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</row>
    <row r="556" spans="4:4">
      <c r="D556" s="20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</row>
    <row r="557" spans="4:4">
      <c r="D557" s="20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</row>
    <row r="558" spans="4:4">
      <c r="D558" s="20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</row>
    <row r="559" spans="4:4">
      <c r="D559" s="20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</row>
    <row r="560" spans="4:4">
      <c r="D560" s="20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</row>
    <row r="561" spans="4:4">
      <c r="D561" s="20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</row>
    <row r="562" spans="4:4">
      <c r="D562" s="20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</row>
    <row r="563" spans="4:4">
      <c r="D563" s="20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</row>
    <row r="564" spans="4:4">
      <c r="D564" s="20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</row>
    <row r="565" spans="4:4">
      <c r="D565" s="20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</row>
    <row r="566" spans="4:4">
      <c r="D566" s="20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</row>
    <row r="567" spans="4:4">
      <c r="D567" s="20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</row>
    <row r="568" spans="4:4">
      <c r="D568" s="20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</row>
    <row r="569" spans="4:4">
      <c r="D569" s="20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</row>
    <row r="570" spans="4:4">
      <c r="D570" s="20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</row>
    <row r="571" spans="4:4">
      <c r="D571" s="20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</row>
    <row r="572" spans="4:4">
      <c r="D572" s="20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</row>
    <row r="573" spans="4:4">
      <c r="D573" s="20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</row>
    <row r="574" spans="4:4">
      <c r="D574" s="20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</row>
    <row r="575" spans="4:4">
      <c r="D575" s="20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</row>
    <row r="576" spans="4:4">
      <c r="D576" s="20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</row>
    <row r="577" spans="4:4">
      <c r="D577" s="20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</row>
    <row r="578" spans="4:4">
      <c r="D578" s="20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</row>
    <row r="579" spans="4:4">
      <c r="D579" s="20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</row>
    <row r="580" spans="4:4">
      <c r="D580" s="20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</row>
    <row r="581" spans="4:4">
      <c r="D581" s="20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</row>
    <row r="582" spans="4:4">
      <c r="D582" s="20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</row>
    <row r="583" spans="4:4">
      <c r="D583" s="20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</row>
    <row r="584" spans="4:4">
      <c r="D584" s="20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</row>
    <row r="585" spans="4:4">
      <c r="D585" s="20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</row>
    <row r="586" spans="4:4">
      <c r="D586" s="20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</row>
    <row r="587" spans="4:4">
      <c r="D587" s="20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</row>
    <row r="588" spans="4:4">
      <c r="D588" s="20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</row>
    <row r="589" spans="4:4">
      <c r="D589" s="20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</row>
    <row r="590" spans="4:4">
      <c r="D590" s="20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</row>
    <row r="591" spans="4:4">
      <c r="D591" s="20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</row>
    <row r="592" spans="4:4">
      <c r="D592" s="20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</row>
    <row r="593" spans="4:4">
      <c r="D593" s="20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</row>
    <row r="594" spans="4:4">
      <c r="D594" s="20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</row>
    <row r="595" spans="4:4">
      <c r="D595" s="20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</row>
    <row r="596" spans="4:4">
      <c r="D596" s="20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</row>
    <row r="597" spans="4:4">
      <c r="D597" s="20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</row>
    <row r="598" spans="4:4">
      <c r="D598" s="20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</row>
    <row r="599" spans="4:4">
      <c r="D599" s="20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</row>
    <row r="600" spans="4:4">
      <c r="D600" s="20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</row>
    <row r="601" spans="4:4">
      <c r="D601" s="20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</row>
    <row r="602" spans="4:4">
      <c r="D602" s="20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</row>
    <row r="603" spans="4:4">
      <c r="D603" s="20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</row>
    <row r="604" spans="4:4">
      <c r="D604" s="20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</row>
    <row r="605" spans="4:4">
      <c r="D605" s="20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</row>
    <row r="606" spans="4:4">
      <c r="D606" s="20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</row>
    <row r="607" spans="4:4">
      <c r="D607" s="20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</row>
    <row r="608" spans="4:4">
      <c r="D608" s="20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</row>
    <row r="609" spans="4:4">
      <c r="D609" s="20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</row>
    <row r="610" spans="4:4">
      <c r="D610" s="20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</row>
    <row r="611" spans="4:4">
      <c r="D611" s="20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</row>
    <row r="612" spans="4:4">
      <c r="D612" s="20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</row>
    <row r="613" spans="4:4">
      <c r="D613" s="20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</row>
    <row r="614" spans="4:4">
      <c r="D614" s="20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</row>
    <row r="615" spans="4:4">
      <c r="D615" s="20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</row>
    <row r="616" spans="4:4">
      <c r="D616" s="20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</row>
    <row r="617" spans="4:4">
      <c r="D617" s="20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</row>
    <row r="618" spans="4:4">
      <c r="D618" s="20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</row>
    <row r="619" spans="4:4">
      <c r="D619" s="20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</row>
    <row r="620" spans="4:4">
      <c r="D620" s="20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</row>
    <row r="621" spans="4:4">
      <c r="D621" s="20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</row>
    <row r="622" spans="4:4">
      <c r="D622" s="20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</row>
    <row r="623" spans="4:4">
      <c r="D623" s="20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</row>
    <row r="624" spans="4:4">
      <c r="D624" s="20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</row>
    <row r="625" spans="4:4">
      <c r="D625" s="20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</row>
    <row r="626" spans="4:4">
      <c r="D626" s="20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</row>
    <row r="627" spans="4:4">
      <c r="D627" s="20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</row>
    <row r="628" spans="4:4">
      <c r="D628" s="20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</row>
    <row r="629" spans="4:4">
      <c r="D629" s="20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</row>
    <row r="630" spans="4:4">
      <c r="D630" s="20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</row>
    <row r="631" spans="4:4">
      <c r="D631" s="20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</row>
    <row r="632" spans="4:4">
      <c r="D632" s="20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</row>
    <row r="633" spans="4:4">
      <c r="D633" s="20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</row>
    <row r="634" spans="4:4">
      <c r="D634" s="20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</row>
    <row r="635" spans="4:4">
      <c r="D635" s="20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</row>
    <row r="636" spans="4:4">
      <c r="D636" s="20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</row>
    <row r="637" spans="4:4">
      <c r="D637" s="20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</row>
    <row r="638" spans="4:4">
      <c r="D638" s="20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</row>
    <row r="639" spans="4:4">
      <c r="D639" s="20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</row>
    <row r="640" spans="4:4">
      <c r="D640" s="20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</row>
    <row r="641" spans="4:4">
      <c r="D641" s="20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</row>
    <row r="642" spans="4:4">
      <c r="D642" s="20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</row>
    <row r="643" spans="4:4">
      <c r="D643" s="20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</row>
    <row r="644" spans="4:4">
      <c r="D644" s="20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</row>
    <row r="645" spans="4:4">
      <c r="D645" s="20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</row>
    <row r="646" spans="4:4">
      <c r="D646" s="20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</row>
    <row r="647" spans="4:4">
      <c r="D647" s="20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</row>
    <row r="648" spans="4:4">
      <c r="D648" s="20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</row>
    <row r="649" spans="4:4">
      <c r="D649" s="20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</row>
    <row r="650" spans="4:4">
      <c r="D650" s="20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</row>
    <row r="651" spans="4:4">
      <c r="D651" s="20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</row>
    <row r="652" spans="4:4">
      <c r="D652" s="20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</row>
    <row r="653" spans="4:4">
      <c r="D653" s="20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</row>
    <row r="654" spans="4:4">
      <c r="D654" s="20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</row>
    <row r="655" spans="4:4">
      <c r="D655" s="20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</row>
    <row r="656" spans="4:4">
      <c r="D656" s="20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</row>
    <row r="657" spans="4:4">
      <c r="D657" s="20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</row>
    <row r="658" spans="4:4">
      <c r="D658" s="20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</row>
    <row r="659" spans="4:4">
      <c r="D659" s="20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</row>
    <row r="660" spans="4:4">
      <c r="D660" s="20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</row>
    <row r="661" spans="4:4">
      <c r="D661" s="20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</row>
    <row r="662" spans="4:4">
      <c r="D662" s="20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</row>
    <row r="663" spans="4:4">
      <c r="D663" s="20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</row>
    <row r="664" spans="4:4">
      <c r="D664" s="20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</row>
    <row r="665" spans="4:4">
      <c r="D665" s="20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</row>
    <row r="666" spans="4:4">
      <c r="D666" s="20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</row>
    <row r="667" spans="4:4">
      <c r="D667" s="20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</row>
    <row r="668" spans="4:4">
      <c r="D668" s="20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</row>
    <row r="669" spans="4:4">
      <c r="D669" s="20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</row>
    <row r="670" spans="4:4">
      <c r="D670" s="20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</row>
    <row r="671" spans="4:4">
      <c r="D671" s="20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</row>
    <row r="672" spans="4:4">
      <c r="D672" s="20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</row>
    <row r="673" spans="4:4">
      <c r="D673" s="20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</row>
    <row r="674" spans="4:4">
      <c r="D674" s="20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</row>
    <row r="675" spans="4:4">
      <c r="D675" s="20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</row>
    <row r="676" spans="4:4">
      <c r="D676" s="20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</row>
    <row r="677" spans="4:4">
      <c r="D677" s="20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</row>
    <row r="678" spans="4:4">
      <c r="D678" s="20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</row>
    <row r="679" spans="4:4">
      <c r="D679" s="20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</row>
    <row r="680" spans="4:4">
      <c r="D680" s="20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</row>
    <row r="681" spans="4:4">
      <c r="D681" s="20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</row>
    <row r="682" spans="4:4">
      <c r="D682" s="20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</row>
    <row r="683" spans="4:4">
      <c r="D683" s="20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</row>
    <row r="684" spans="4:4">
      <c r="D684" s="20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</row>
    <row r="685" spans="4:4">
      <c r="D685" s="20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</row>
    <row r="686" spans="4:4">
      <c r="D686" s="20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</row>
    <row r="687" spans="4:4">
      <c r="D687" s="20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</row>
    <row r="688" spans="4:4">
      <c r="D688" s="20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</row>
    <row r="689" spans="4:4">
      <c r="D689" s="20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</row>
    <row r="690" spans="4:4">
      <c r="D690" s="20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</row>
    <row r="691" spans="4:4">
      <c r="D691" s="20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</row>
    <row r="692" spans="4:4">
      <c r="D692" s="20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</row>
    <row r="693" spans="4:4">
      <c r="D693" s="20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</row>
    <row r="694" spans="4:4">
      <c r="D694" s="20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</row>
    <row r="695" spans="4:4">
      <c r="D695" s="20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</row>
    <row r="696" spans="4:4">
      <c r="D696" s="20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</row>
    <row r="697" spans="4:4">
      <c r="D697" s="20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</row>
    <row r="698" spans="4:4">
      <c r="D698" s="20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</row>
    <row r="699" spans="4:4">
      <c r="D699" s="20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</row>
    <row r="700" spans="4:4">
      <c r="D700" s="20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</row>
    <row r="701" spans="4:4">
      <c r="D701" s="20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</row>
    <row r="702" spans="4:4">
      <c r="D702" s="20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</row>
    <row r="703" spans="4:4">
      <c r="D703" s="20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</row>
    <row r="704" spans="4:4">
      <c r="D704" s="20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</row>
    <row r="705" spans="4:4">
      <c r="D705" s="20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</row>
    <row r="706" spans="4:4">
      <c r="D706" s="20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</row>
    <row r="707" spans="4:4">
      <c r="D707" s="20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</row>
    <row r="708" spans="4:4">
      <c r="D708" s="20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</row>
    <row r="709" spans="4:4">
      <c r="D709" s="20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</row>
    <row r="710" spans="4:4">
      <c r="D710" s="20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</row>
    <row r="711" spans="4:4">
      <c r="D711" s="20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</row>
    <row r="712" spans="4:4">
      <c r="D712" s="20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</row>
    <row r="713" spans="4:4">
      <c r="D713" s="20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</row>
    <row r="714" spans="4:4">
      <c r="D714" s="20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</row>
    <row r="715" spans="4:4">
      <c r="D715" s="20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</row>
    <row r="716" spans="4:4">
      <c r="D716" s="20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</row>
    <row r="717" spans="4:4">
      <c r="D717" s="20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</row>
    <row r="718" spans="4:4">
      <c r="D718" s="20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</row>
    <row r="719" spans="4:4">
      <c r="D719" s="20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</row>
    <row r="720" spans="4:4">
      <c r="D720" s="20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</row>
    <row r="721" spans="4:4">
      <c r="D721" s="20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</row>
    <row r="722" spans="4:4">
      <c r="D722" s="20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</row>
    <row r="723" spans="4:4">
      <c r="D723" s="20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</row>
    <row r="724" spans="4:4">
      <c r="D724" s="20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</row>
    <row r="725" spans="4:4">
      <c r="D725" s="20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</row>
    <row r="726" spans="4:4">
      <c r="D726" s="20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</row>
    <row r="727" spans="4:4">
      <c r="D727" s="20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</row>
    <row r="728" spans="4:4">
      <c r="D728" s="20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</row>
    <row r="729" spans="4:4">
      <c r="D729" s="20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</row>
    <row r="730" spans="4:4">
      <c r="D730" s="20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</row>
    <row r="731" spans="4:4">
      <c r="D731" s="20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</row>
    <row r="732" spans="4:4">
      <c r="D732" s="20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</row>
    <row r="733" spans="4:4">
      <c r="D733" s="20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</row>
    <row r="734" spans="4:4">
      <c r="D734" s="20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</row>
    <row r="735" spans="4:4">
      <c r="D735" s="20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</row>
    <row r="736" spans="4:4">
      <c r="D736" s="20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</row>
    <row r="737" spans="4:4">
      <c r="D737" s="20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</row>
    <row r="738" spans="4:4">
      <c r="D738" s="20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</row>
    <row r="739" spans="4:4">
      <c r="D739" s="20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</row>
    <row r="740" spans="4:4">
      <c r="D740" s="20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</row>
    <row r="741" spans="4:4">
      <c r="D741" s="20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</row>
    <row r="742" spans="4:4">
      <c r="D742" s="20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</row>
    <row r="743" spans="4:4">
      <c r="D743" s="20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</row>
    <row r="744" spans="4:4">
      <c r="D744" s="20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</row>
    <row r="745" spans="4:4">
      <c r="D745" s="20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</row>
    <row r="746" spans="4:4">
      <c r="D746" s="20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</row>
    <row r="747" spans="4:4">
      <c r="D747" s="20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</row>
    <row r="748" spans="4:4">
      <c r="D748" s="20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</row>
    <row r="749" spans="4:4">
      <c r="D749" s="20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</row>
    <row r="750" spans="4:4">
      <c r="D750" s="20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</row>
    <row r="751" spans="4:4">
      <c r="D751" s="20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</row>
    <row r="752" spans="4:4">
      <c r="D752" s="20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</row>
    <row r="753" spans="4:4">
      <c r="D753" s="20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</row>
    <row r="754" spans="4:4">
      <c r="D754" s="20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</row>
    <row r="755" spans="4:4">
      <c r="D755" s="20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</row>
    <row r="756" spans="4:4">
      <c r="D756" s="20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</row>
    <row r="757" spans="4:4">
      <c r="D757" s="20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</row>
    <row r="758" spans="4:4">
      <c r="D758" s="20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</row>
    <row r="759" spans="4:4">
      <c r="D759" s="20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</row>
    <row r="760" spans="4:4">
      <c r="D760" s="20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</row>
    <row r="761" spans="4:4">
      <c r="D761" s="20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</row>
    <row r="762" spans="4:4">
      <c r="D762" s="20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</row>
    <row r="763" spans="4:4">
      <c r="D763" s="20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</row>
    <row r="764" spans="4:4">
      <c r="D764" s="20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</row>
    <row r="765" spans="4:4">
      <c r="D765" s="20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</row>
    <row r="766" spans="4:4">
      <c r="D766" s="20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</row>
    <row r="767" spans="4:4">
      <c r="D767" s="20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</row>
    <row r="768" spans="4:4">
      <c r="D768" s="20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</row>
    <row r="769" spans="4:4">
      <c r="D769" s="20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</row>
    <row r="770" spans="4:4">
      <c r="D770" s="20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</row>
    <row r="771" spans="4:4">
      <c r="D771" s="20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</row>
    <row r="772" spans="4:4">
      <c r="D772" s="20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</row>
    <row r="773" spans="4:4">
      <c r="D773" s="20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</row>
    <row r="774" spans="4:4">
      <c r="D774" s="20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</row>
    <row r="775" spans="4:4">
      <c r="D775" s="20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</row>
    <row r="776" spans="4:4">
      <c r="D776" s="20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</row>
    <row r="777" spans="4:4">
      <c r="D777" s="20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</row>
    <row r="778" spans="4:4">
      <c r="D778" s="20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</row>
    <row r="779" spans="4:4">
      <c r="D779" s="20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</row>
    <row r="780" spans="4:4">
      <c r="D780" s="20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</row>
    <row r="781" spans="4:4">
      <c r="D781" s="20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</row>
    <row r="782" spans="4:4">
      <c r="D782" s="20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</row>
    <row r="783" spans="4:4">
      <c r="D783" s="20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</row>
    <row r="784" spans="4:4">
      <c r="D784" s="20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</row>
    <row r="785" spans="4:4">
      <c r="D785" s="20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</row>
    <row r="786" spans="4:4">
      <c r="D786" s="20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</row>
    <row r="787" spans="4:4">
      <c r="D787" s="20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</row>
    <row r="788" spans="4:4">
      <c r="D788" s="20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</row>
    <row r="789" spans="4:4">
      <c r="D789" s="20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</row>
    <row r="790" spans="4:4">
      <c r="D790" s="20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</row>
    <row r="791" spans="4:4">
      <c r="D791" s="20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</row>
    <row r="792" spans="4:4">
      <c r="D792" s="20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</row>
    <row r="793" spans="4:4">
      <c r="D793" s="20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</row>
    <row r="794" spans="4:4">
      <c r="D794" s="20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</row>
    <row r="795" spans="4:4">
      <c r="D795" s="20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</row>
    <row r="796" spans="4:4">
      <c r="D796" s="20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</row>
    <row r="797" spans="4:4">
      <c r="D797" s="20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</row>
    <row r="798" spans="4:4">
      <c r="D798" s="20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</row>
    <row r="799" spans="4:4">
      <c r="D799" s="20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</row>
    <row r="800" spans="4:4">
      <c r="D800" s="20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</row>
    <row r="801" spans="4:4">
      <c r="D801" s="20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</row>
    <row r="802" spans="4:4">
      <c r="D802" s="20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</row>
    <row r="803" spans="4:4">
      <c r="D803" s="20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</row>
    <row r="804" spans="4:4">
      <c r="D804" s="20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</row>
    <row r="805" spans="4:4">
      <c r="D805" s="20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</row>
    <row r="806" spans="4:4">
      <c r="D806" s="20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</row>
    <row r="807" spans="4:4">
      <c r="D807" s="20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</row>
    <row r="808" spans="4:4">
      <c r="D808" s="20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</row>
    <row r="809" spans="4:4">
      <c r="D809" s="20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</row>
    <row r="810" spans="4:4">
      <c r="D810" s="20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</row>
    <row r="811" spans="4:4">
      <c r="D811" s="20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</row>
    <row r="812" spans="4:4">
      <c r="D812" s="20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</row>
    <row r="813" spans="4:4">
      <c r="D813" s="20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</row>
    <row r="814" spans="4:4">
      <c r="D814" s="20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</row>
    <row r="815" spans="4:4">
      <c r="D815" s="20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</row>
    <row r="816" spans="4:4">
      <c r="D816" s="20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</row>
    <row r="817" spans="4:4">
      <c r="D817" s="20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</row>
    <row r="818" spans="4:4">
      <c r="D818" s="20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</row>
    <row r="819" spans="4:4">
      <c r="D819" s="20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</row>
    <row r="820" spans="4:4">
      <c r="D820" s="20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</row>
    <row r="821" spans="4:4">
      <c r="D821" s="20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</row>
    <row r="822" spans="4:4">
      <c r="D822" s="20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</row>
    <row r="823" spans="4:4">
      <c r="D823" s="20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</row>
    <row r="824" spans="4:4">
      <c r="D824" s="20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</row>
    <row r="825" spans="4:4">
      <c r="D825" s="20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</row>
    <row r="826" spans="4:4">
      <c r="D826" s="20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</row>
    <row r="827" spans="4:4">
      <c r="D827" s="20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</row>
    <row r="828" spans="4:4">
      <c r="D828" s="20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</row>
    <row r="829" spans="4:4">
      <c r="D829" s="20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</row>
    <row r="830" spans="4:4">
      <c r="D830" s="20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</row>
    <row r="831" spans="4:4">
      <c r="D831" s="20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</row>
    <row r="832" spans="4:4">
      <c r="D832" s="20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</row>
    <row r="833" spans="4:4">
      <c r="D833" s="20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</row>
    <row r="834" spans="4:4">
      <c r="D834" s="20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</row>
    <row r="835" spans="4:4">
      <c r="D835" s="20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</row>
    <row r="836" spans="4:4">
      <c r="D836" s="20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</row>
    <row r="837" spans="4:4">
      <c r="D837" s="20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</row>
    <row r="838" spans="4:4">
      <c r="D838" s="20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</row>
    <row r="839" spans="4:4">
      <c r="D839" s="20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</row>
    <row r="840" spans="4:4">
      <c r="D840" s="20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</row>
    <row r="841" spans="4:4">
      <c r="D841" s="20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</row>
    <row r="842" spans="4:4">
      <c r="D842" s="20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</row>
    <row r="843" spans="4:4">
      <c r="D843" s="20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</row>
    <row r="844" spans="4:4">
      <c r="D844" s="20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</row>
    <row r="845" spans="4:4">
      <c r="D845" s="20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</row>
    <row r="846" spans="4:4">
      <c r="D846" s="20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</row>
    <row r="847" spans="4:4">
      <c r="D847" s="20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</row>
    <row r="848" spans="4:4">
      <c r="D848" s="20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</row>
    <row r="849" spans="4:4">
      <c r="D849" s="20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</row>
    <row r="850" spans="4:4">
      <c r="D850" s="20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</row>
    <row r="851" spans="4:4">
      <c r="D851" s="20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</row>
    <row r="852" spans="4:4">
      <c r="D852" s="20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</row>
    <row r="853" spans="4:4">
      <c r="D853" s="20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</row>
    <row r="854" spans="4:4">
      <c r="D854" s="20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</row>
    <row r="855" spans="4:4">
      <c r="D855" s="20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</row>
    <row r="856" spans="4:4">
      <c r="D856" s="20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</row>
    <row r="857" spans="4:4">
      <c r="D857" s="20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</row>
    <row r="858" spans="4:4">
      <c r="D858" s="20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</row>
    <row r="859" spans="4:4">
      <c r="D859" s="20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</row>
    <row r="860" spans="4:4">
      <c r="D860" s="20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</row>
    <row r="861" spans="4:4">
      <c r="D861" s="20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</row>
    <row r="862" spans="4:4">
      <c r="D862" s="20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</row>
    <row r="863" spans="4:4">
      <c r="D863" s="20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</row>
    <row r="864" spans="4:4">
      <c r="D864" s="20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</row>
    <row r="865" spans="4:4">
      <c r="D865" s="20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</row>
    <row r="866" spans="4:4">
      <c r="D866" s="20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</row>
    <row r="867" spans="4:4">
      <c r="D867" s="20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</row>
    <row r="868" spans="4:4">
      <c r="D868" s="20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</row>
    <row r="869" spans="4:4">
      <c r="D869" s="20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</row>
    <row r="870" spans="4:4">
      <c r="D870" s="20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</row>
    <row r="871" spans="4:4">
      <c r="D871" s="20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</row>
    <row r="872" spans="4:4">
      <c r="D872" s="20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</row>
    <row r="873" spans="4:4">
      <c r="D873" s="20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</row>
    <row r="874" spans="4:4">
      <c r="D874" s="20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</row>
    <row r="875" spans="4:4">
      <c r="D875" s="20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</row>
    <row r="876" spans="4:4">
      <c r="D876" s="20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</row>
    <row r="877" spans="4:4">
      <c r="D877" s="20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</row>
    <row r="878" spans="4:4">
      <c r="D878" s="20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</row>
    <row r="879" spans="4:4">
      <c r="D879" s="20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</row>
    <row r="880" spans="4:4">
      <c r="D880" s="20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</row>
    <row r="881" spans="4:4">
      <c r="D881" s="20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</row>
    <row r="882" spans="4:4">
      <c r="D882" s="20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</row>
    <row r="883" spans="4:4">
      <c r="D883" s="20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</row>
    <row r="884" spans="4:4">
      <c r="D884" s="20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</row>
    <row r="885" spans="4:4">
      <c r="D885" s="20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</row>
    <row r="886" spans="4:4">
      <c r="D886" s="20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</row>
    <row r="887" spans="4:4">
      <c r="D887" s="20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</row>
    <row r="888" spans="4:4">
      <c r="D888" s="20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</row>
    <row r="889" spans="4:4">
      <c r="D889" s="20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</row>
    <row r="890" spans="4:4">
      <c r="D890" s="20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</row>
    <row r="891" spans="4:4">
      <c r="D891" s="20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</row>
    <row r="892" spans="4:4">
      <c r="D892" s="20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</row>
    <row r="893" spans="4:4">
      <c r="D893" s="20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</row>
    <row r="894" spans="4:4">
      <c r="D894" s="20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</row>
    <row r="895" spans="4:4">
      <c r="D895" s="20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</row>
    <row r="896" spans="4:4">
      <c r="D896" s="20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</row>
    <row r="897" spans="4:4">
      <c r="D897" s="20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</row>
    <row r="898" spans="4:4">
      <c r="D898" s="20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</row>
    <row r="899" spans="4:4">
      <c r="D899" s="20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</row>
    <row r="900" spans="4:4">
      <c r="D900" s="20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</row>
    <row r="901" spans="4:4">
      <c r="D901" s="20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</row>
    <row r="902" spans="4:4">
      <c r="D902" s="20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</row>
    <row r="903" spans="4:4">
      <c r="D903" s="20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</row>
    <row r="904" spans="4:4">
      <c r="D904" s="20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</row>
    <row r="905" spans="4:4">
      <c r="D905" s="20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</row>
    <row r="906" spans="4:4">
      <c r="D906" s="20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</row>
    <row r="907" spans="4:4">
      <c r="D907" s="20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</row>
    <row r="908" spans="4:4">
      <c r="D908" s="20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</row>
    <row r="909" spans="4:4">
      <c r="D909" s="20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</row>
    <row r="910" spans="4:4">
      <c r="D910" s="20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</row>
    <row r="911" spans="4:4">
      <c r="D911" s="20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</row>
    <row r="912" spans="4:4">
      <c r="D912" s="20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</row>
    <row r="913" spans="4:4">
      <c r="D913" s="20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</row>
    <row r="914" spans="4:4">
      <c r="D914" s="20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</row>
    <row r="915" spans="4:4">
      <c r="D915" s="20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</row>
    <row r="916" spans="4:4">
      <c r="D916" s="20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</row>
    <row r="917" spans="4:4">
      <c r="D917" s="20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</row>
    <row r="918" spans="4:4">
      <c r="D918" s="20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</row>
    <row r="919" spans="4:4">
      <c r="D919" s="20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</row>
    <row r="920" spans="4:4">
      <c r="D920" s="20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</row>
    <row r="921" spans="4:4">
      <c r="D921" s="20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</row>
    <row r="922" spans="4:4">
      <c r="D922" s="20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</row>
    <row r="923" spans="4:4">
      <c r="D923" s="20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</row>
    <row r="924" spans="4:4">
      <c r="D924" s="20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</row>
    <row r="925" spans="4:4">
      <c r="D925" s="20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</row>
    <row r="926" spans="4:4">
      <c r="D926" s="20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</row>
    <row r="927" spans="4:4">
      <c r="D927" s="20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</row>
    <row r="928" spans="4:4">
      <c r="D928" s="20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</row>
    <row r="929" spans="4:4">
      <c r="D929" s="20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</row>
    <row r="930" spans="4:4">
      <c r="D930" s="20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</row>
    <row r="931" spans="4:4">
      <c r="D931" s="20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</row>
    <row r="932" spans="4:4">
      <c r="D932" s="20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</row>
    <row r="933" spans="4:4">
      <c r="D933" s="20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</row>
    <row r="934" spans="4:4">
      <c r="D934" s="20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</row>
    <row r="935" spans="4:4">
      <c r="D935" s="20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</row>
    <row r="936" spans="4:4">
      <c r="D936" s="20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</row>
    <row r="937" spans="4:4">
      <c r="D937" s="20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</row>
    <row r="938" spans="4:4">
      <c r="D938" s="20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</row>
    <row r="939" spans="4:4">
      <c r="D939" s="20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</row>
    <row r="940" spans="4:4">
      <c r="D940" s="20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</row>
    <row r="941" spans="4:4">
      <c r="D941" s="20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</row>
    <row r="942" spans="4:4">
      <c r="D942" s="20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</row>
    <row r="943" spans="4:4">
      <c r="D943" s="20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</row>
    <row r="944" spans="4:4">
      <c r="D944" s="20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</row>
    <row r="945" spans="4:4">
      <c r="D945" s="20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</row>
    <row r="946" spans="4:4">
      <c r="D946" s="20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</row>
    <row r="947" spans="4:4">
      <c r="D947" s="20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</row>
    <row r="948" spans="4:4">
      <c r="D948" s="20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</row>
    <row r="949" spans="4:4">
      <c r="D949" s="20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</row>
    <row r="950" spans="4:4">
      <c r="D950" s="20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</row>
    <row r="951" spans="4:4">
      <c r="D951" s="20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</row>
    <row r="952" spans="4:4">
      <c r="D952" s="20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</row>
    <row r="953" spans="4:4">
      <c r="D953" s="20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</row>
    <row r="954" spans="4:4">
      <c r="D954" s="20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</row>
    <row r="955" spans="4:4">
      <c r="D955" s="20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</row>
    <row r="956" spans="4:4">
      <c r="D956" s="20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</row>
    <row r="957" spans="4:4">
      <c r="D957" s="20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</row>
    <row r="958" spans="4:4">
      <c r="D958" s="20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</row>
    <row r="959" spans="4:4">
      <c r="D959" s="20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</row>
    <row r="960" spans="4:4">
      <c r="D960" s="20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</row>
    <row r="961" spans="4:4">
      <c r="D961" s="20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</row>
    <row r="962" spans="4:4">
      <c r="D962" s="20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</row>
    <row r="963" spans="4:4">
      <c r="D963" s="20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</row>
    <row r="964" spans="4:4">
      <c r="D964" s="20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</row>
    <row r="965" spans="4:4">
      <c r="D965" s="20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</row>
    <row r="966" spans="4:4">
      <c r="D966" s="20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</row>
    <row r="967" spans="4:4">
      <c r="D967" s="20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</row>
    <row r="968" spans="4:4">
      <c r="D968" s="20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</row>
    <row r="969" spans="4:4">
      <c r="D969" s="20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</row>
    <row r="970" spans="4:4">
      <c r="D970" s="20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</row>
    <row r="971" spans="4:4">
      <c r="D971" s="20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</row>
    <row r="972" spans="4:4">
      <c r="D972" s="20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</row>
    <row r="973" spans="4:4">
      <c r="D973" s="20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</row>
    <row r="974" spans="4:4">
      <c r="D974" s="20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</row>
    <row r="975" spans="4:4">
      <c r="D975" s="20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</row>
    <row r="976" spans="4:4">
      <c r="D976" s="20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</row>
    <row r="977" spans="4:4">
      <c r="D977" s="20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</row>
    <row r="978" spans="4:4">
      <c r="D978" s="20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</row>
    <row r="979" spans="4:4">
      <c r="D979" s="20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</row>
    <row r="980" spans="4:4">
      <c r="D980" s="20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</row>
    <row r="981" spans="4:4">
      <c r="D981" s="20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</row>
    <row r="982" spans="4:4">
      <c r="D982" s="20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</row>
    <row r="983" spans="4:4">
      <c r="D983" s="20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</row>
    <row r="984" spans="4:4">
      <c r="D984" s="20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</row>
    <row r="985" spans="4:4">
      <c r="D985" s="20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</row>
    <row r="986" spans="4:4">
      <c r="D986" s="20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</row>
    <row r="987" spans="4:4">
      <c r="D987" s="20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</row>
    <row r="988" spans="4:4">
      <c r="D988" s="20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</row>
    <row r="989" spans="4:4">
      <c r="D989" s="20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</row>
    <row r="990" spans="4:4">
      <c r="D990" s="20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</row>
    <row r="991" spans="4:4">
      <c r="D991" s="20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</row>
    <row r="992" spans="4:4">
      <c r="D992" s="20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</row>
    <row r="993" spans="4:4">
      <c r="D993" s="20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</row>
    <row r="994" spans="4:4">
      <c r="D994" s="20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</row>
    <row r="995" spans="4:4">
      <c r="D995" s="20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</row>
    <row r="996" spans="4:4">
      <c r="D996" s="20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</row>
    <row r="997" spans="4:4">
      <c r="D997" s="20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</row>
    <row r="998" spans="4:4">
      <c r="D998" s="20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</row>
    <row r="999" spans="4:4">
      <c r="D999" s="20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</row>
    <row r="1000" spans="4:4">
      <c r="D1000" s="20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4BE16B2D-AFB6-4EFB-96CB-31004E8F115E}">
          <x14:formula1>
            <xm:f>Supplier!$E$6:$E$1000</xm:f>
          </x14:formula1>
          <xm:sqref>F16:F1000</xm:sqref>
        </x14:dataValidation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H7:H21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  <x14:dataValidation type="list" allowBlank="1" showInputMessage="1" showErrorMessage="1" xr:uid="{0BC5C2EB-69E4-4F8F-8FDF-95595C74C948}">
          <x14:formula1>
            <xm:f>Supplier!$E$6:$E$150</xm:f>
          </x14:formula1>
          <xm:sqref>F6:F15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Q199"/>
  <sheetViews>
    <sheetView tabSelected="1" topLeftCell="A19" workbookViewId="0">
      <selection activeCell="K28" sqref="K28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70"/>
    <col min="10" max="11" width="18" customWidth="1"/>
    <col min="12" max="12" width="10.88671875" customWidth="1"/>
    <col min="13" max="13" width="17.6640625" style="7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7">
      <c r="C4" t="s">
        <v>4</v>
      </c>
      <c r="D4" t="s">
        <v>151</v>
      </c>
      <c r="E4" s="3" t="s">
        <v>165</v>
      </c>
      <c r="F4" t="s">
        <v>0</v>
      </c>
      <c r="G4" t="s">
        <v>149</v>
      </c>
      <c r="H4" s="1" t="s">
        <v>98</v>
      </c>
      <c r="I4" s="70" t="s">
        <v>108</v>
      </c>
      <c r="J4" t="s">
        <v>99</v>
      </c>
      <c r="K4" t="s">
        <v>143</v>
      </c>
      <c r="L4" t="s">
        <v>150</v>
      </c>
      <c r="M4" s="7" t="s">
        <v>169</v>
      </c>
      <c r="O4" t="s">
        <v>169</v>
      </c>
      <c r="P4" t="s">
        <v>170</v>
      </c>
      <c r="Q4" t="s">
        <v>171</v>
      </c>
    </row>
    <row r="5" spans="3:17">
      <c r="C5">
        <v>1</v>
      </c>
      <c r="D5" s="6">
        <v>45459</v>
      </c>
      <c r="E5" s="3" t="s">
        <v>215</v>
      </c>
      <c r="F5" t="s">
        <v>204</v>
      </c>
      <c r="G5" t="s">
        <v>11</v>
      </c>
      <c r="H5" s="1">
        <v>11</v>
      </c>
      <c r="I5" s="70" t="s">
        <v>220</v>
      </c>
      <c r="J5" s="7">
        <v>2100000</v>
      </c>
      <c r="K5" s="7">
        <f>IF(Table1[[#This Row],[SKU]]="","",Table1[[#This Row],[Qty]]*Table1[[#This Row],[Price]])</f>
        <v>23100000</v>
      </c>
      <c r="O5" s="7">
        <f>Q5-P5</f>
        <v>64840000</v>
      </c>
      <c r="P5" s="7">
        <f>SUMIF(Table6[SKU],F5,Table6[Value])</f>
        <v>0</v>
      </c>
      <c r="Q5" s="7">
        <f>SUMIF(Table7[SKU],F5,Table7[Total Cost])-SUMIF($F$4:F4,F5,$M$4:M4)</f>
        <v>64840000</v>
      </c>
    </row>
    <row r="6" spans="3:17">
      <c r="C6">
        <v>2</v>
      </c>
      <c r="D6" s="6">
        <v>45459</v>
      </c>
      <c r="E6" s="3" t="s">
        <v>216</v>
      </c>
      <c r="F6" t="s">
        <v>187</v>
      </c>
      <c r="G6" t="s">
        <v>28</v>
      </c>
      <c r="H6" s="1">
        <v>1</v>
      </c>
      <c r="I6" s="70" t="s">
        <v>220</v>
      </c>
      <c r="J6" s="7">
        <v>24500000</v>
      </c>
      <c r="K6" s="7">
        <f>IF(Table1[[#This Row],[SKU]]="","",Table1[[#This Row],[Qty]]*Table1[[#This Row],[Price]])</f>
        <v>24500000</v>
      </c>
      <c r="O6" s="7">
        <f t="shared" ref="O6:O15" si="0">Q6-P6</f>
        <v>47800000</v>
      </c>
      <c r="P6" s="7">
        <f>SUMIF(Table6[SKU],F6,Table6[Value])</f>
        <v>0</v>
      </c>
      <c r="Q6" s="7">
        <f>SUMIF(Table7[SKU],F6,Table7[Total Cost])-SUMIF($F$4:F5,F6,$M$4:M5)</f>
        <v>47800000</v>
      </c>
    </row>
    <row r="7" spans="3:17">
      <c r="C7">
        <v>3</v>
      </c>
      <c r="D7" s="6">
        <v>45459</v>
      </c>
      <c r="E7" s="3" t="s">
        <v>217</v>
      </c>
      <c r="F7" t="s">
        <v>197</v>
      </c>
      <c r="G7" t="s">
        <v>15</v>
      </c>
      <c r="H7" s="1">
        <v>1</v>
      </c>
      <c r="I7" s="70" t="s">
        <v>220</v>
      </c>
      <c r="J7" s="7">
        <v>2500000</v>
      </c>
      <c r="K7" s="7">
        <f>IF(Table1[[#This Row],[SKU]]="","",Table1[[#This Row],[Qty]]*Table1[[#This Row],[Price]])</f>
        <v>2500000</v>
      </c>
      <c r="O7" s="7">
        <f t="shared" si="0"/>
        <v>5550000</v>
      </c>
      <c r="P7" s="7">
        <f>SUMIF(Table6[SKU],F7,Table6[Value])</f>
        <v>28050000</v>
      </c>
      <c r="Q7" s="7">
        <f>SUMIF(Table7[SKU],F7,Table7[Total Cost])-SUMIF($F$4:F6,F7,$M$4:M6)</f>
        <v>33600000</v>
      </c>
    </row>
    <row r="8" spans="3:17">
      <c r="C8">
        <v>4</v>
      </c>
      <c r="D8" s="6">
        <v>45459</v>
      </c>
      <c r="E8" s="3" t="s">
        <v>208</v>
      </c>
      <c r="F8" t="s">
        <v>185</v>
      </c>
      <c r="G8" t="s">
        <v>32</v>
      </c>
      <c r="H8" s="1">
        <v>2</v>
      </c>
      <c r="I8" s="70" t="s">
        <v>220</v>
      </c>
      <c r="J8" s="7">
        <v>26000000</v>
      </c>
      <c r="K8" s="7">
        <f>IF(Table1[[#This Row],[SKU]]="","",Table1[[#This Row],[Qty]]*Table1[[#This Row],[Price]])</f>
        <v>52000000</v>
      </c>
      <c r="O8" s="7">
        <f t="shared" si="0"/>
        <v>48504000</v>
      </c>
      <c r="P8" s="7">
        <f>SUMIF(Table6[SKU],F8,Table6[Value])</f>
        <v>0</v>
      </c>
      <c r="Q8" s="7">
        <f>SUMIF(Table7[SKU],F8,Table7[Total Cost])-SUMIF($F$4:F7,F8,$M$4:M7)</f>
        <v>48504000</v>
      </c>
    </row>
    <row r="9" spans="3:17">
      <c r="C9">
        <v>5</v>
      </c>
      <c r="D9" s="6">
        <v>45459</v>
      </c>
      <c r="E9" s="3" t="s">
        <v>211</v>
      </c>
      <c r="F9" t="s">
        <v>204</v>
      </c>
      <c r="G9" t="s">
        <v>11</v>
      </c>
      <c r="H9" s="1">
        <v>1</v>
      </c>
      <c r="I9" s="70" t="s">
        <v>220</v>
      </c>
      <c r="J9" s="7">
        <v>2500000</v>
      </c>
      <c r="K9" s="7">
        <f>IF(Table1[[#This Row],[SKU]]="","",Table1[[#This Row],[Qty]]*Table1[[#This Row],[Price]])</f>
        <v>2500000</v>
      </c>
      <c r="O9" s="7">
        <f t="shared" si="0"/>
        <v>64840000</v>
      </c>
      <c r="P9" s="7">
        <f>SUMIF(Table6[SKU],F9,Table6[Value])</f>
        <v>0</v>
      </c>
      <c r="Q9" s="7">
        <f>SUMIF(Table7[SKU],F9,Table7[Total Cost])-SUMIF($F$4:F8,F9,$M$4:M8)</f>
        <v>64840000</v>
      </c>
    </row>
    <row r="10" spans="3:17">
      <c r="C10">
        <v>6</v>
      </c>
      <c r="D10" s="6">
        <v>45459</v>
      </c>
      <c r="E10" s="3" t="s">
        <v>219</v>
      </c>
      <c r="F10" t="s">
        <v>192</v>
      </c>
      <c r="G10" t="s">
        <v>13</v>
      </c>
      <c r="H10" s="1">
        <v>1</v>
      </c>
      <c r="I10" s="70" t="s">
        <v>220</v>
      </c>
      <c r="J10" s="7">
        <v>52000000</v>
      </c>
      <c r="K10" s="7">
        <f>IF(Table1[[#This Row],[SKU]]="","",Table1[[#This Row],[Qty]]*Table1[[#This Row],[Price]])</f>
        <v>52000000</v>
      </c>
      <c r="O10" s="7">
        <f t="shared" si="0"/>
        <v>258400000</v>
      </c>
      <c r="P10" s="7">
        <f>SUMIF(Table6[SKU],F10,Table6[Value])</f>
        <v>169000000</v>
      </c>
      <c r="Q10" s="7">
        <f>SUMIF(Table7[SKU],F10,Table7[Total Cost])-SUMIF($F$4:F9,F10,$M$4:M9)</f>
        <v>427400000</v>
      </c>
    </row>
    <row r="11" spans="3:17">
      <c r="C11">
        <v>7</v>
      </c>
      <c r="D11" s="6">
        <v>45459</v>
      </c>
      <c r="E11" s="3" t="s">
        <v>214</v>
      </c>
      <c r="F11" t="s">
        <v>204</v>
      </c>
      <c r="G11" t="s">
        <v>11</v>
      </c>
      <c r="H11" s="1">
        <v>1</v>
      </c>
      <c r="I11" s="70" t="s">
        <v>220</v>
      </c>
      <c r="J11" s="7">
        <v>3200000</v>
      </c>
      <c r="K11" s="7">
        <f>IF(Table1[[#This Row],[SKU]]="","",Table1[[#This Row],[Qty]]*Table1[[#This Row],[Price]])</f>
        <v>3200000</v>
      </c>
      <c r="O11" s="7">
        <f t="shared" si="0"/>
        <v>64840000</v>
      </c>
      <c r="P11" s="7">
        <f>SUMIF(Table6[SKU],F11,Table6[Value])</f>
        <v>0</v>
      </c>
      <c r="Q11" s="7">
        <f>SUMIF(Table7[SKU],F11,Table7[Total Cost])-SUMIF($F$4:F10,F11,$M$4:M10)</f>
        <v>64840000</v>
      </c>
    </row>
    <row r="12" spans="3:17">
      <c r="C12">
        <v>8</v>
      </c>
      <c r="D12" s="6">
        <v>45459</v>
      </c>
      <c r="E12" s="3" t="s">
        <v>218</v>
      </c>
      <c r="F12" t="s">
        <v>192</v>
      </c>
      <c r="G12" t="s">
        <v>13</v>
      </c>
      <c r="H12" s="1">
        <v>1</v>
      </c>
      <c r="I12" s="70" t="s">
        <v>220</v>
      </c>
      <c r="J12" s="7">
        <v>52000000</v>
      </c>
      <c r="K12" s="7">
        <f>IF(Table1[[#This Row],[SKU]]="","",Table1[[#This Row],[Qty]]*Table1[[#This Row],[Price]])</f>
        <v>52000000</v>
      </c>
      <c r="O12" s="7">
        <f t="shared" si="0"/>
        <v>258400000</v>
      </c>
      <c r="P12" s="7">
        <f>SUMIF(Table6[SKU],F12,Table6[Value])</f>
        <v>169000000</v>
      </c>
      <c r="Q12" s="7">
        <f>SUMIF(Table7[SKU],F12,Table7[Total Cost])-SUMIF($F$4:F11,F12,$M$4:M11)</f>
        <v>427400000</v>
      </c>
    </row>
    <row r="13" spans="3:17">
      <c r="C13">
        <v>9</v>
      </c>
      <c r="D13" s="6">
        <v>45459</v>
      </c>
      <c r="E13" s="3" t="s">
        <v>221</v>
      </c>
      <c r="F13" t="s">
        <v>204</v>
      </c>
      <c r="G13" t="s">
        <v>11</v>
      </c>
      <c r="H13" s="1">
        <v>5</v>
      </c>
      <c r="I13" s="70" t="s">
        <v>220</v>
      </c>
      <c r="J13" s="7">
        <v>3050000</v>
      </c>
      <c r="K13" s="7">
        <f>IF(Table1[[#This Row],[SKU]]="","",Table1[[#This Row],[Qty]]*Table1[[#This Row],[Price]])</f>
        <v>15250000</v>
      </c>
      <c r="O13" s="7">
        <f t="shared" si="0"/>
        <v>64840000</v>
      </c>
      <c r="P13" s="7">
        <f>SUMIF(Table6[SKU],F13,Table6[Value])</f>
        <v>0</v>
      </c>
      <c r="Q13" s="7">
        <f>SUMIF(Table7[SKU],F13,Table7[Total Cost])-SUMIF($F$4:F12,F13,$M$4:M12)</f>
        <v>64840000</v>
      </c>
    </row>
    <row r="14" spans="3:17">
      <c r="C14">
        <v>10</v>
      </c>
      <c r="D14" s="6">
        <v>45459</v>
      </c>
      <c r="E14" s="3" t="s">
        <v>222</v>
      </c>
      <c r="F14" t="s">
        <v>204</v>
      </c>
      <c r="G14" t="s">
        <v>11</v>
      </c>
      <c r="H14" s="1">
        <v>1</v>
      </c>
      <c r="I14" s="70" t="s">
        <v>220</v>
      </c>
      <c r="J14" s="7">
        <v>3250000</v>
      </c>
      <c r="K14" s="7">
        <f>IF(Table1[[#This Row],[SKU]]="","",Table1[[#This Row],[Qty]]*Table1[[#This Row],[Price]])</f>
        <v>3250000</v>
      </c>
      <c r="O14" s="7">
        <f t="shared" si="0"/>
        <v>64840000</v>
      </c>
      <c r="P14" s="7">
        <f>SUMIF(Table6[SKU],F14,Table6[Value])</f>
        <v>0</v>
      </c>
      <c r="Q14" s="7">
        <f>SUMIF(Table7[SKU],F14,Table7[Total Cost])-SUMIF($F$4:F13,F14,$M$4:M13)</f>
        <v>64840000</v>
      </c>
    </row>
    <row r="15" spans="3:17">
      <c r="C15">
        <v>11</v>
      </c>
      <c r="D15" s="6">
        <v>45459</v>
      </c>
      <c r="E15" s="3" t="s">
        <v>223</v>
      </c>
      <c r="F15" t="s">
        <v>204</v>
      </c>
      <c r="G15" t="s">
        <v>11</v>
      </c>
      <c r="H15" s="1">
        <v>1</v>
      </c>
      <c r="I15" s="70" t="s">
        <v>220</v>
      </c>
      <c r="J15" s="7">
        <v>2950000</v>
      </c>
      <c r="K15" s="7">
        <f>IF(Table1[[#This Row],[SKU]]="","",Table1[[#This Row],[Qty]]*Table1[[#This Row],[Price]])</f>
        <v>2950000</v>
      </c>
      <c r="O15" s="7">
        <f t="shared" si="0"/>
        <v>64840000</v>
      </c>
      <c r="P15" s="7">
        <f>SUMIF(Table6[SKU],F15,Table6[Value])</f>
        <v>0</v>
      </c>
      <c r="Q15" s="7">
        <f>SUMIF(Table7[SKU],F15,Table7[Total Cost])-SUMIF($F$4:F14,F15,$M$4:M14)</f>
        <v>64840000</v>
      </c>
    </row>
    <row r="16" spans="3:17">
      <c r="C16">
        <v>12</v>
      </c>
      <c r="D16" s="6">
        <v>45459</v>
      </c>
      <c r="E16" s="3" t="s">
        <v>224</v>
      </c>
      <c r="F16" t="s">
        <v>190</v>
      </c>
      <c r="G16" t="s">
        <v>142</v>
      </c>
      <c r="H16" s="1">
        <v>1</v>
      </c>
      <c r="I16" s="70" t="s">
        <v>220</v>
      </c>
      <c r="J16" s="7">
        <v>50000000</v>
      </c>
      <c r="K16" s="7">
        <f>IF(Table1[[#This Row],[SKU]]="","",Table1[[#This Row],[Qty]]*Table1[[#This Row],[Price]])</f>
        <v>50000000</v>
      </c>
      <c r="O16" s="7"/>
      <c r="P16" s="7"/>
      <c r="Q16" s="7"/>
    </row>
    <row r="17" spans="3:17">
      <c r="C17">
        <v>13</v>
      </c>
      <c r="D17" s="6">
        <v>45459</v>
      </c>
      <c r="E17" s="3" t="s">
        <v>225</v>
      </c>
      <c r="F17" t="s">
        <v>204</v>
      </c>
      <c r="G17" t="s">
        <v>11</v>
      </c>
      <c r="H17" s="1">
        <v>1</v>
      </c>
      <c r="I17" s="70" t="s">
        <v>220</v>
      </c>
      <c r="J17" s="7">
        <v>2400000</v>
      </c>
      <c r="K17" s="7">
        <f>IF(Table1[[#This Row],[SKU]]="","",Table1[[#This Row],[Qty]]*Table1[[#This Row],[Price]])</f>
        <v>2400000</v>
      </c>
      <c r="O17" s="7"/>
      <c r="P17" s="7"/>
      <c r="Q17" s="7"/>
    </row>
    <row r="18" spans="3:17">
      <c r="C18">
        <v>14</v>
      </c>
      <c r="D18" s="6">
        <v>45460</v>
      </c>
      <c r="E18" s="3" t="s">
        <v>226</v>
      </c>
      <c r="F18" t="s">
        <v>204</v>
      </c>
      <c r="G18" t="s">
        <v>11</v>
      </c>
      <c r="H18" s="1">
        <v>9</v>
      </c>
      <c r="I18" s="70" t="s">
        <v>220</v>
      </c>
      <c r="J18" s="7">
        <v>2500000</v>
      </c>
      <c r="K18" s="7">
        <f>IF(Table1[[#This Row],[SKU]]="","",Table1[[#This Row],[Qty]]*Table1[[#This Row],[Price]])</f>
        <v>22500000</v>
      </c>
      <c r="O18" s="7"/>
      <c r="P18" s="7"/>
      <c r="Q18" s="7"/>
    </row>
    <row r="19" spans="3:17">
      <c r="C19">
        <v>15</v>
      </c>
      <c r="D19" s="6">
        <v>45460</v>
      </c>
      <c r="E19" s="3" t="s">
        <v>227</v>
      </c>
      <c r="F19" t="s">
        <v>190</v>
      </c>
      <c r="G19" t="s">
        <v>142</v>
      </c>
      <c r="H19" s="1">
        <v>1</v>
      </c>
      <c r="I19" s="70" t="s">
        <v>220</v>
      </c>
      <c r="J19" s="7">
        <v>8200000</v>
      </c>
      <c r="K19" s="7">
        <f>IF(Table1[[#This Row],[SKU]]="","",Table1[[#This Row],[Qty]]*Table1[[#This Row],[Price]])</f>
        <v>8200000</v>
      </c>
      <c r="O19" s="7"/>
      <c r="P19" s="7"/>
      <c r="Q19" s="7"/>
    </row>
    <row r="20" spans="3:17">
      <c r="C20">
        <v>16</v>
      </c>
      <c r="D20" s="6">
        <v>45460</v>
      </c>
      <c r="E20" s="3" t="s">
        <v>228</v>
      </c>
      <c r="F20" t="s">
        <v>192</v>
      </c>
      <c r="G20" t="s">
        <v>13</v>
      </c>
      <c r="H20" s="1">
        <v>2</v>
      </c>
      <c r="I20" s="70" t="s">
        <v>220</v>
      </c>
      <c r="J20" s="7">
        <v>54000000</v>
      </c>
      <c r="K20" s="7">
        <f>IF(Table1[[#This Row],[SKU]]="","",Table1[[#This Row],[Qty]]*Table1[[#This Row],[Price]])</f>
        <v>108000000</v>
      </c>
      <c r="O20" s="7"/>
      <c r="P20" s="7"/>
      <c r="Q20" s="7"/>
    </row>
    <row r="21" spans="3:17">
      <c r="C21">
        <v>17</v>
      </c>
      <c r="D21" s="6">
        <v>45461</v>
      </c>
      <c r="E21" s="3" t="s">
        <v>229</v>
      </c>
      <c r="F21" t="s">
        <v>213</v>
      </c>
      <c r="G21" t="s">
        <v>105</v>
      </c>
      <c r="H21" s="1">
        <v>10</v>
      </c>
      <c r="I21" s="70" t="s">
        <v>220</v>
      </c>
      <c r="J21" s="7">
        <v>1000000</v>
      </c>
      <c r="K21" s="7">
        <f>IF(Table1[[#This Row],[SKU]]="","",Table1[[#This Row],[Qty]]*Table1[[#This Row],[Price]])</f>
        <v>10000000</v>
      </c>
      <c r="O21" s="7"/>
      <c r="P21" s="7"/>
      <c r="Q21" s="7"/>
    </row>
    <row r="22" spans="3:17">
      <c r="C22">
        <v>18</v>
      </c>
      <c r="D22" s="6">
        <v>45461</v>
      </c>
      <c r="E22" s="3" t="s">
        <v>230</v>
      </c>
      <c r="F22" t="s">
        <v>213</v>
      </c>
      <c r="G22" t="s">
        <v>105</v>
      </c>
      <c r="H22" s="1">
        <v>2</v>
      </c>
      <c r="I22" s="70" t="s">
        <v>220</v>
      </c>
      <c r="J22" s="7">
        <v>4000000</v>
      </c>
      <c r="K22" s="7">
        <f>IF(Table1[[#This Row],[SKU]]="","",Table1[[#This Row],[Qty]]*Table1[[#This Row],[Price]])</f>
        <v>8000000</v>
      </c>
      <c r="O22" s="7"/>
      <c r="P22" s="7"/>
      <c r="Q22" s="7"/>
    </row>
    <row r="23" spans="3:17">
      <c r="C23">
        <v>19</v>
      </c>
      <c r="D23" s="6">
        <v>45463</v>
      </c>
      <c r="E23" s="3" t="s">
        <v>264</v>
      </c>
      <c r="F23" t="s">
        <v>265</v>
      </c>
      <c r="G23" t="s">
        <v>154</v>
      </c>
      <c r="H23" s="1">
        <v>1</v>
      </c>
      <c r="I23" s="70" t="s">
        <v>220</v>
      </c>
      <c r="J23" s="7">
        <v>3000000</v>
      </c>
      <c r="K23" s="7">
        <f>IF(Table1[[#This Row],[SKU]]="","",Table1[[#This Row],[Qty]]*Table1[[#This Row],[Price]])</f>
        <v>3000000</v>
      </c>
    </row>
    <row r="24" spans="3:17">
      <c r="C24">
        <v>20</v>
      </c>
      <c r="D24" s="6">
        <v>45464</v>
      </c>
      <c r="E24" s="3" t="s">
        <v>277</v>
      </c>
      <c r="F24" t="s">
        <v>279</v>
      </c>
      <c r="G24" t="s">
        <v>33</v>
      </c>
      <c r="H24" s="1">
        <v>1</v>
      </c>
      <c r="I24" s="70" t="s">
        <v>220</v>
      </c>
      <c r="J24" s="7">
        <v>2300000</v>
      </c>
      <c r="K24" s="7">
        <f>IF(Table1[[#This Row],[SKU]]="","",Table1[[#This Row],[Qty]]*Table1[[#This Row],[Price]])</f>
        <v>2300000</v>
      </c>
    </row>
    <row r="25" spans="3:17">
      <c r="C25">
        <v>21</v>
      </c>
      <c r="D25" s="6">
        <v>45464</v>
      </c>
      <c r="E25" s="3" t="s">
        <v>278</v>
      </c>
      <c r="F25" t="s">
        <v>192</v>
      </c>
      <c r="G25" t="s">
        <v>13</v>
      </c>
      <c r="H25" s="1">
        <v>2</v>
      </c>
      <c r="I25" s="70" t="s">
        <v>220</v>
      </c>
      <c r="J25" s="7">
        <v>250000</v>
      </c>
      <c r="K25" s="7">
        <f>IF(Table1[[#This Row],[SKU]]="","",Table1[[#This Row],[Qty]]*Table1[[#This Row],[Price]])</f>
        <v>500000</v>
      </c>
    </row>
    <row r="26" spans="3:17">
      <c r="C26">
        <v>22</v>
      </c>
      <c r="D26" s="6">
        <v>45465</v>
      </c>
      <c r="E26" s="3" t="s">
        <v>280</v>
      </c>
      <c r="F26" t="s">
        <v>187</v>
      </c>
      <c r="G26" t="s">
        <v>28</v>
      </c>
      <c r="H26" s="1">
        <v>1</v>
      </c>
      <c r="I26" s="70" t="s">
        <v>220</v>
      </c>
      <c r="J26" s="7">
        <v>200000</v>
      </c>
      <c r="K26" s="7">
        <f>IF(Table1[[#This Row],[SKU]]="","",Table1[[#This Row],[Qty]]*Table1[[#This Row],[Price]])</f>
        <v>200000</v>
      </c>
    </row>
    <row r="27" spans="3:17">
      <c r="C27">
        <v>23</v>
      </c>
      <c r="D27" s="6">
        <v>45465</v>
      </c>
      <c r="E27" s="3" t="s">
        <v>281</v>
      </c>
      <c r="F27" t="s">
        <v>282</v>
      </c>
      <c r="G27" t="s">
        <v>29</v>
      </c>
      <c r="H27" s="1">
        <v>2</v>
      </c>
      <c r="I27" s="70" t="s">
        <v>220</v>
      </c>
      <c r="J27" s="7">
        <v>2323123</v>
      </c>
      <c r="K27" s="7">
        <f>IF(Table1[[#This Row],[SKU]]="","",Table1[[#This Row],[Qty]]*Table1[[#This Row],[Price]])</f>
        <v>4646246</v>
      </c>
    </row>
    <row r="28" spans="3:17">
      <c r="C28">
        <v>24</v>
      </c>
      <c r="D28" s="6">
        <v>45465</v>
      </c>
      <c r="E28" s="3" t="s">
        <v>283</v>
      </c>
      <c r="F28" t="s">
        <v>185</v>
      </c>
      <c r="G28" t="s">
        <v>32</v>
      </c>
      <c r="H28" s="1">
        <v>1</v>
      </c>
      <c r="I28" s="70" t="s">
        <v>220</v>
      </c>
      <c r="J28" s="7">
        <v>2500000</v>
      </c>
      <c r="K28" s="7">
        <f>IF(Table1[[#This Row],[SKU]]="","",Table1[[#This Row],[Qty]]*Table1[[#This Row],[Price]])</f>
        <v>2500000</v>
      </c>
    </row>
    <row r="29" spans="3:17">
      <c r="C29" s="78">
        <v>25</v>
      </c>
      <c r="D29" s="6">
        <v>45465</v>
      </c>
      <c r="E29" s="3" t="s">
        <v>284</v>
      </c>
      <c r="F29" s="78" t="s">
        <v>204</v>
      </c>
      <c r="G29" t="s">
        <v>11</v>
      </c>
      <c r="H29" s="1">
        <v>1</v>
      </c>
      <c r="I29" s="79" t="s">
        <v>220</v>
      </c>
      <c r="J29" s="7">
        <v>24999000</v>
      </c>
      <c r="K29" s="7">
        <f>IF(Table1[[#This Row],[SKU]]="","",Table1[[#This Row],[Qty]]*Table1[[#This Row],[Price]])</f>
        <v>24999000</v>
      </c>
    </row>
    <row r="30" spans="3:17">
      <c r="C30" s="78">
        <v>26</v>
      </c>
      <c r="D30" s="6">
        <v>45465</v>
      </c>
      <c r="E30" s="3" t="s">
        <v>285</v>
      </c>
      <c r="F30" s="78" t="s">
        <v>187</v>
      </c>
      <c r="G30" t="s">
        <v>28</v>
      </c>
      <c r="H30" s="1">
        <v>1</v>
      </c>
      <c r="I30" s="79" t="s">
        <v>220</v>
      </c>
      <c r="J30" s="7">
        <v>24999999</v>
      </c>
      <c r="K30" s="7">
        <f>IF(Table1[[#This Row],[SKU]]="","",Table1[[#This Row],[Qty]]*Table1[[#This Row],[Price]])</f>
        <v>24999999</v>
      </c>
    </row>
    <row r="31" spans="3:17">
      <c r="C31" s="78">
        <v>27</v>
      </c>
      <c r="D31" s="6">
        <v>45465</v>
      </c>
      <c r="E31" s="3" t="s">
        <v>286</v>
      </c>
      <c r="F31" s="78" t="s">
        <v>197</v>
      </c>
      <c r="G31" t="s">
        <v>15</v>
      </c>
      <c r="H31" s="1">
        <v>2</v>
      </c>
      <c r="I31" s="79" t="s">
        <v>220</v>
      </c>
      <c r="J31" s="7">
        <v>800000</v>
      </c>
      <c r="K31" s="7">
        <f>IF(Table1[[#This Row],[SKU]]="","",Table1[[#This Row],[Qty]]*Table1[[#This Row],[Price]])</f>
        <v>1600000</v>
      </c>
    </row>
    <row r="32" spans="3:17">
      <c r="C32" s="78">
        <v>28</v>
      </c>
      <c r="D32" s="6">
        <v>45465</v>
      </c>
      <c r="E32" s="3" t="s">
        <v>288</v>
      </c>
      <c r="F32" s="78" t="s">
        <v>287</v>
      </c>
      <c r="G32" t="s">
        <v>30</v>
      </c>
      <c r="H32" s="1">
        <v>1</v>
      </c>
      <c r="I32" s="79" t="s">
        <v>220</v>
      </c>
      <c r="J32" s="7">
        <v>7000000</v>
      </c>
      <c r="K32" s="7">
        <f>IF(Table1[[#This Row],[SKU]]="","",Table1[[#This Row],[Qty]]*Table1[[#This Row],[Price]])</f>
        <v>7000000</v>
      </c>
    </row>
    <row r="33" spans="3:11">
      <c r="C33" s="78">
        <v>29</v>
      </c>
      <c r="D33" s="6">
        <v>45465</v>
      </c>
      <c r="E33" s="3" t="s">
        <v>289</v>
      </c>
      <c r="F33" s="78" t="s">
        <v>290</v>
      </c>
      <c r="G33" t="s">
        <v>31</v>
      </c>
      <c r="H33" s="1">
        <v>1</v>
      </c>
      <c r="I33" s="79" t="s">
        <v>220</v>
      </c>
      <c r="J33" s="7">
        <v>48500000</v>
      </c>
      <c r="K33" s="7">
        <f>IF(Table1[[#This Row],[SKU]]="","",Table1[[#This Row],[Qty]]*Table1[[#This Row],[Price]])</f>
        <v>48500000</v>
      </c>
    </row>
    <row r="34" spans="3:11">
      <c r="J34" s="7"/>
      <c r="K34" s="7"/>
    </row>
    <row r="35" spans="3:11">
      <c r="J35" s="7"/>
      <c r="K35" s="7"/>
    </row>
    <row r="36" spans="3:11">
      <c r="J36" s="7"/>
      <c r="K36" s="7"/>
    </row>
    <row r="37" spans="3:11">
      <c r="J37" s="7"/>
      <c r="K37" s="7"/>
    </row>
    <row r="38" spans="3:11">
      <c r="J38" s="7"/>
      <c r="K38" s="7"/>
    </row>
    <row r="39" spans="3:11">
      <c r="J39" s="7"/>
      <c r="K39" s="7"/>
    </row>
    <row r="40" spans="3:11">
      <c r="J40" s="7"/>
      <c r="K40" s="7"/>
    </row>
    <row r="41" spans="3:11">
      <c r="J41" s="7"/>
      <c r="K41" s="7"/>
    </row>
    <row r="42" spans="3:11">
      <c r="J42" s="7"/>
      <c r="K42" s="7"/>
    </row>
    <row r="43" spans="3:11">
      <c r="J43" s="7"/>
      <c r="K43" s="7"/>
    </row>
    <row r="44" spans="3:11">
      <c r="J44" s="7"/>
      <c r="K44" s="7"/>
    </row>
    <row r="45" spans="3:11">
      <c r="J45" s="7"/>
      <c r="K45" s="7"/>
    </row>
    <row r="46" spans="3:11">
      <c r="J46" s="7"/>
      <c r="K46" s="7"/>
    </row>
    <row r="47" spans="3:11">
      <c r="J47" s="7"/>
      <c r="K47" s="7"/>
    </row>
    <row r="48" spans="3:11">
      <c r="J48" s="7"/>
      <c r="K48" s="7"/>
    </row>
    <row r="49" spans="10:11">
      <c r="J49" s="7"/>
      <c r="K49" s="7"/>
    </row>
    <row r="50" spans="10:11">
      <c r="J50" s="7"/>
      <c r="K50" s="7"/>
    </row>
    <row r="51" spans="10:11">
      <c r="J51" s="7"/>
      <c r="K51" s="7"/>
    </row>
    <row r="52" spans="10:11">
      <c r="J52" s="7"/>
      <c r="K52" s="7"/>
    </row>
    <row r="53" spans="10:11">
      <c r="J53" s="7"/>
      <c r="K53" s="7"/>
    </row>
    <row r="54" spans="10:11">
      <c r="J54" s="7"/>
      <c r="K54" s="7"/>
    </row>
    <row r="55" spans="10:11">
      <c r="J55" s="7"/>
      <c r="K55" s="7"/>
    </row>
    <row r="56" spans="10:11">
      <c r="J56" s="7"/>
      <c r="K56" s="7"/>
    </row>
    <row r="57" spans="10:11">
      <c r="J57" s="7"/>
      <c r="K57" s="7"/>
    </row>
    <row r="58" spans="10:11">
      <c r="J58" s="7"/>
      <c r="K58" s="7"/>
    </row>
    <row r="59" spans="10:11">
      <c r="J59" s="7"/>
      <c r="K59" s="7"/>
    </row>
    <row r="60" spans="10:11">
      <c r="J60" s="7"/>
      <c r="K60" s="7"/>
    </row>
    <row r="61" spans="10:11">
      <c r="J61" s="7"/>
      <c r="K61" s="7"/>
    </row>
    <row r="62" spans="10:11">
      <c r="J62" s="7"/>
      <c r="K62" s="7"/>
    </row>
    <row r="63" spans="10:11">
      <c r="J63" s="7"/>
      <c r="K63" s="7"/>
    </row>
    <row r="64" spans="10:11">
      <c r="J64" s="7"/>
      <c r="K64" s="7"/>
    </row>
    <row r="65" spans="10:11">
      <c r="J65" s="7"/>
      <c r="K65" s="7"/>
    </row>
    <row r="66" spans="10:11">
      <c r="J66" s="7"/>
      <c r="K66" s="7"/>
    </row>
    <row r="67" spans="10:11">
      <c r="J67" s="7"/>
      <c r="K67" s="7"/>
    </row>
    <row r="68" spans="10:11">
      <c r="J68" s="7"/>
      <c r="K68" s="7"/>
    </row>
    <row r="69" spans="10:11">
      <c r="J69" s="7"/>
      <c r="K69" s="7"/>
    </row>
    <row r="70" spans="10:11">
      <c r="J70" s="7"/>
      <c r="K70" s="7"/>
    </row>
    <row r="71" spans="10:11">
      <c r="J71" s="7"/>
      <c r="K71" s="7"/>
    </row>
    <row r="72" spans="10:11">
      <c r="J72" s="7"/>
      <c r="K72" s="7"/>
    </row>
    <row r="73" spans="10:11">
      <c r="J73" s="7"/>
      <c r="K73" s="7"/>
    </row>
    <row r="74" spans="10:11">
      <c r="J74" s="7"/>
      <c r="K74" s="7"/>
    </row>
    <row r="75" spans="10:11">
      <c r="J75" s="7"/>
      <c r="K75" s="7"/>
    </row>
    <row r="76" spans="10:11">
      <c r="J76" s="7"/>
      <c r="K76" s="7"/>
    </row>
    <row r="77" spans="10:11">
      <c r="J77" s="7"/>
      <c r="K77" s="7"/>
    </row>
    <row r="78" spans="10:11">
      <c r="J78" s="7"/>
      <c r="K78" s="7"/>
    </row>
    <row r="79" spans="10:11">
      <c r="J79" s="7"/>
      <c r="K79" s="7"/>
    </row>
    <row r="80" spans="10:11">
      <c r="J80" s="7"/>
      <c r="K80" s="7"/>
    </row>
    <row r="81" spans="10:11">
      <c r="J81" s="7"/>
      <c r="K81" s="7"/>
    </row>
    <row r="82" spans="10:11">
      <c r="J82" s="7"/>
      <c r="K82" s="7"/>
    </row>
    <row r="83" spans="10:11">
      <c r="J83" s="7"/>
      <c r="K83" s="7"/>
    </row>
    <row r="84" spans="10:11">
      <c r="J84" s="7"/>
      <c r="K84" s="7"/>
    </row>
    <row r="85" spans="10:11">
      <c r="J85" s="7"/>
      <c r="K85" s="7"/>
    </row>
    <row r="86" spans="10:11">
      <c r="J86" s="7"/>
      <c r="K86" s="7"/>
    </row>
    <row r="87" spans="10:11">
      <c r="J87" s="7"/>
      <c r="K87" s="7"/>
    </row>
    <row r="88" spans="10:11">
      <c r="J88" s="7"/>
      <c r="K88" s="7"/>
    </row>
    <row r="89" spans="10:11">
      <c r="J89" s="7"/>
      <c r="K89" s="7"/>
    </row>
    <row r="90" spans="10:11">
      <c r="J90" s="7"/>
      <c r="K90" s="7"/>
    </row>
    <row r="91" spans="10:11">
      <c r="J91" s="7"/>
      <c r="K91" s="7"/>
    </row>
    <row r="92" spans="10:11">
      <c r="J92" s="7"/>
      <c r="K92" s="7"/>
    </row>
    <row r="93" spans="10:11">
      <c r="J93" s="7"/>
      <c r="K93" s="7"/>
    </row>
    <row r="94" spans="10:11">
      <c r="J94" s="7"/>
      <c r="K94" s="7"/>
    </row>
    <row r="95" spans="10:11">
      <c r="J95" s="7"/>
      <c r="K95" s="7"/>
    </row>
    <row r="96" spans="10:11">
      <c r="J96" s="7"/>
      <c r="K96" s="7"/>
    </row>
    <row r="97" spans="10:11">
      <c r="J97" s="7"/>
      <c r="K97" s="7"/>
    </row>
    <row r="98" spans="10:11">
      <c r="J98" s="7"/>
      <c r="K98" s="7"/>
    </row>
    <row r="99" spans="10:11">
      <c r="J99" s="7"/>
      <c r="K99" s="7"/>
    </row>
    <row r="100" spans="10:11">
      <c r="J100" s="7"/>
      <c r="K100" s="7"/>
    </row>
    <row r="101" spans="10:11">
      <c r="J101" s="7"/>
      <c r="K101" s="7"/>
    </row>
    <row r="102" spans="10:11">
      <c r="J102" s="7"/>
      <c r="K102" s="7"/>
    </row>
    <row r="103" spans="10:11">
      <c r="J103" s="7"/>
      <c r="K103" s="7"/>
    </row>
    <row r="104" spans="10:11">
      <c r="J104" s="7"/>
      <c r="K104" s="7"/>
    </row>
    <row r="105" spans="10:11">
      <c r="J105" s="7"/>
      <c r="K105" s="7"/>
    </row>
    <row r="106" spans="10:11">
      <c r="J106" s="7"/>
      <c r="K106" s="7"/>
    </row>
    <row r="107" spans="10:11">
      <c r="J107" s="7"/>
      <c r="K107" s="7"/>
    </row>
    <row r="108" spans="10:11">
      <c r="J108" s="7"/>
      <c r="K108" s="7"/>
    </row>
    <row r="109" spans="10:11">
      <c r="J109" s="7"/>
      <c r="K109" s="7"/>
    </row>
    <row r="110" spans="10:11">
      <c r="J110" s="7"/>
      <c r="K110" s="7"/>
    </row>
    <row r="111" spans="10:11">
      <c r="J111" s="7"/>
      <c r="K111" s="7"/>
    </row>
    <row r="112" spans="10:11">
      <c r="J112" s="7"/>
      <c r="K112" s="7"/>
    </row>
    <row r="113" spans="10:11">
      <c r="J113" s="7"/>
      <c r="K113" s="7"/>
    </row>
    <row r="114" spans="10:11">
      <c r="J114" s="7"/>
      <c r="K114" s="7"/>
    </row>
    <row r="115" spans="10:11">
      <c r="J115" s="7"/>
      <c r="K115" s="7"/>
    </row>
    <row r="116" spans="10:11">
      <c r="J116" s="7"/>
      <c r="K116" s="7"/>
    </row>
    <row r="117" spans="10:11">
      <c r="J117" s="7"/>
      <c r="K117" s="7"/>
    </row>
    <row r="118" spans="10:11">
      <c r="J118" s="7"/>
      <c r="K118" s="7"/>
    </row>
    <row r="119" spans="10:11">
      <c r="J119" s="7"/>
      <c r="K119" s="7"/>
    </row>
    <row r="120" spans="10:11">
      <c r="J120" s="7"/>
      <c r="K120" s="7"/>
    </row>
    <row r="121" spans="10:11">
      <c r="J121" s="7"/>
      <c r="K121" s="7"/>
    </row>
    <row r="122" spans="10:11">
      <c r="J122" s="7"/>
      <c r="K122" s="7"/>
    </row>
    <row r="123" spans="10:11">
      <c r="J123" s="7"/>
      <c r="K123" s="7"/>
    </row>
    <row r="124" spans="10:11">
      <c r="J124" s="7"/>
      <c r="K124" s="7"/>
    </row>
    <row r="125" spans="10:11">
      <c r="J125" s="7"/>
      <c r="K125" s="7"/>
    </row>
    <row r="126" spans="10:11">
      <c r="J126" s="7"/>
      <c r="K126" s="7"/>
    </row>
    <row r="127" spans="10:11">
      <c r="J127" s="7"/>
      <c r="K127" s="7"/>
    </row>
    <row r="128" spans="10:11">
      <c r="J128" s="7"/>
      <c r="K128" s="7"/>
    </row>
    <row r="129" spans="10:11">
      <c r="J129" s="7"/>
      <c r="K129" s="7"/>
    </row>
    <row r="130" spans="10:11">
      <c r="J130" s="7"/>
      <c r="K130" s="7"/>
    </row>
    <row r="131" spans="10:11">
      <c r="J131" s="7"/>
      <c r="K131" s="7"/>
    </row>
    <row r="132" spans="10:11">
      <c r="J132" s="7"/>
      <c r="K132" s="7"/>
    </row>
    <row r="133" spans="10:11">
      <c r="J133" s="7"/>
      <c r="K133" s="7"/>
    </row>
    <row r="134" spans="10:11">
      <c r="J134" s="7"/>
      <c r="K134" s="7"/>
    </row>
    <row r="135" spans="10:11">
      <c r="J135" s="7"/>
      <c r="K135" s="7"/>
    </row>
    <row r="136" spans="10:11">
      <c r="J136" s="7"/>
      <c r="K136" s="7"/>
    </row>
    <row r="137" spans="10:11">
      <c r="J137" s="7"/>
      <c r="K137" s="7"/>
    </row>
    <row r="138" spans="10:11">
      <c r="J138" s="7"/>
      <c r="K138" s="7"/>
    </row>
    <row r="139" spans="10:11">
      <c r="J139" s="7"/>
      <c r="K139" s="7"/>
    </row>
    <row r="140" spans="10:11">
      <c r="J140" s="7"/>
      <c r="K140" s="7"/>
    </row>
    <row r="141" spans="10:11">
      <c r="J141" s="7"/>
      <c r="K141" s="7"/>
    </row>
    <row r="142" spans="10:11">
      <c r="J142" s="7"/>
      <c r="K142" s="7"/>
    </row>
    <row r="143" spans="10:11">
      <c r="J143" s="7"/>
      <c r="K143" s="7"/>
    </row>
    <row r="144" spans="10:11">
      <c r="J144" s="7"/>
      <c r="K144" s="7"/>
    </row>
    <row r="145" spans="10:11">
      <c r="J145" s="7"/>
      <c r="K145" s="7"/>
    </row>
    <row r="146" spans="10:11">
      <c r="J146" s="7"/>
      <c r="K146" s="7"/>
    </row>
    <row r="147" spans="10:11">
      <c r="J147" s="7"/>
      <c r="K147" s="7"/>
    </row>
    <row r="148" spans="10:11">
      <c r="J148" s="7"/>
      <c r="K148" s="7"/>
    </row>
    <row r="149" spans="10:11">
      <c r="J149" s="7"/>
      <c r="K149" s="7"/>
    </row>
    <row r="150" spans="10:11">
      <c r="J150" s="7"/>
      <c r="K150" s="7"/>
    </row>
    <row r="151" spans="10:11">
      <c r="J151" s="7"/>
      <c r="K151" s="7"/>
    </row>
    <row r="152" spans="10:11">
      <c r="J152" s="7"/>
      <c r="K152" s="7"/>
    </row>
    <row r="153" spans="10:11">
      <c r="J153" s="7"/>
      <c r="K153" s="7"/>
    </row>
    <row r="154" spans="10:11">
      <c r="J154" s="7"/>
      <c r="K154" s="7"/>
    </row>
    <row r="155" spans="10:11">
      <c r="J155" s="7"/>
      <c r="K155" s="7"/>
    </row>
    <row r="156" spans="10:11">
      <c r="J156" s="7"/>
      <c r="K156" s="7"/>
    </row>
    <row r="157" spans="10:11">
      <c r="J157" s="7"/>
      <c r="K157" s="7"/>
    </row>
    <row r="158" spans="10:11">
      <c r="J158" s="7"/>
      <c r="K158" s="7"/>
    </row>
    <row r="159" spans="10:11">
      <c r="J159" s="7"/>
      <c r="K159" s="7"/>
    </row>
    <row r="160" spans="10:11">
      <c r="J160" s="7"/>
      <c r="K160" s="7"/>
    </row>
    <row r="161" spans="10:11">
      <c r="J161" s="7"/>
      <c r="K161" s="7"/>
    </row>
    <row r="162" spans="10:11">
      <c r="J162" s="7"/>
      <c r="K162" s="7"/>
    </row>
    <row r="163" spans="10:11">
      <c r="J163" s="7"/>
      <c r="K163" s="7"/>
    </row>
    <row r="164" spans="10:11">
      <c r="J164" s="7"/>
      <c r="K164" s="7"/>
    </row>
    <row r="165" spans="10:11">
      <c r="J165" s="7"/>
      <c r="K165" s="7"/>
    </row>
    <row r="166" spans="10:11">
      <c r="J166" s="7"/>
      <c r="K166" s="7"/>
    </row>
    <row r="167" spans="10:11">
      <c r="J167" s="7"/>
      <c r="K167" s="7"/>
    </row>
    <row r="168" spans="10:11">
      <c r="J168" s="7"/>
      <c r="K168" s="7"/>
    </row>
    <row r="169" spans="10:11">
      <c r="J169" s="7"/>
      <c r="K169" s="7"/>
    </row>
    <row r="170" spans="10:11">
      <c r="J170" s="7"/>
      <c r="K170" s="7"/>
    </row>
    <row r="171" spans="10:11">
      <c r="J171" s="7"/>
      <c r="K171" s="7"/>
    </row>
    <row r="172" spans="10:11">
      <c r="J172" s="7"/>
      <c r="K172" s="7"/>
    </row>
    <row r="173" spans="10:11">
      <c r="J173" s="7"/>
      <c r="K173" s="7"/>
    </row>
    <row r="174" spans="10:11">
      <c r="J174" s="7"/>
      <c r="K174" s="7"/>
    </row>
    <row r="175" spans="10:11">
      <c r="J175" s="7"/>
      <c r="K175" s="7"/>
    </row>
    <row r="176" spans="10:11">
      <c r="J176" s="7"/>
      <c r="K176" s="7"/>
    </row>
    <row r="177" spans="10:11">
      <c r="J177" s="7"/>
      <c r="K177" s="7"/>
    </row>
    <row r="178" spans="10:11">
      <c r="J178" s="7"/>
      <c r="K178" s="7"/>
    </row>
    <row r="179" spans="10:11">
      <c r="J179" s="7"/>
      <c r="K179" s="7"/>
    </row>
    <row r="180" spans="10:11">
      <c r="J180" s="7"/>
      <c r="K180" s="7"/>
    </row>
    <row r="181" spans="10:11">
      <c r="J181" s="7"/>
      <c r="K181" s="7"/>
    </row>
    <row r="182" spans="10:11">
      <c r="J182" s="7"/>
      <c r="K182" s="7"/>
    </row>
    <row r="183" spans="10:11">
      <c r="J183" s="7"/>
      <c r="K183" s="7"/>
    </row>
    <row r="184" spans="10:11">
      <c r="J184" s="7"/>
      <c r="K184" s="7"/>
    </row>
    <row r="185" spans="10:11">
      <c r="J185" s="7"/>
      <c r="K185" s="7"/>
    </row>
    <row r="186" spans="10:11">
      <c r="J186" s="7"/>
      <c r="K186" s="7"/>
    </row>
    <row r="187" spans="10:11">
      <c r="J187" s="7"/>
      <c r="K187" s="7"/>
    </row>
    <row r="188" spans="10:11">
      <c r="J188" s="7"/>
      <c r="K188" s="7"/>
    </row>
    <row r="189" spans="10:11">
      <c r="J189" s="7"/>
      <c r="K189" s="7"/>
    </row>
    <row r="190" spans="10:11">
      <c r="J190" s="7"/>
      <c r="K190" s="7"/>
    </row>
    <row r="191" spans="10:11">
      <c r="J191" s="7"/>
      <c r="K191" s="7"/>
    </row>
    <row r="192" spans="10:11">
      <c r="J192" s="7"/>
      <c r="K192" s="7"/>
    </row>
    <row r="193" spans="10:11">
      <c r="J193" s="7"/>
      <c r="K193" s="7"/>
    </row>
    <row r="194" spans="10:11">
      <c r="J194" s="7"/>
      <c r="K194" s="7"/>
    </row>
    <row r="195" spans="10:11">
      <c r="J195" s="7"/>
      <c r="K195" s="7"/>
    </row>
    <row r="196" spans="10:11">
      <c r="J196" s="7"/>
      <c r="K196" s="7"/>
    </row>
    <row r="197" spans="10:11">
      <c r="J197" s="7"/>
      <c r="K197" s="7"/>
    </row>
    <row r="198" spans="10:11">
      <c r="J198" s="7"/>
      <c r="K198" s="7"/>
    </row>
    <row r="199" spans="10:11">
      <c r="J199" s="7"/>
      <c r="K199" s="7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34:E36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workbookViewId="0">
      <selection activeCell="I15" sqref="I15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31" t="s">
        <v>146</v>
      </c>
      <c r="D3" s="32">
        <v>45444</v>
      </c>
      <c r="E3" s="9"/>
    </row>
    <row r="4" spans="2:37">
      <c r="H4" s="2"/>
      <c r="I4" s="2"/>
    </row>
    <row r="5" spans="2:37" ht="28.8">
      <c r="B5" s="10" t="s">
        <v>4</v>
      </c>
      <c r="C5" s="10" t="s">
        <v>0</v>
      </c>
      <c r="D5" s="16" t="s">
        <v>141</v>
      </c>
      <c r="E5" s="16" t="s">
        <v>147</v>
      </c>
      <c r="F5" s="11" t="s">
        <v>110</v>
      </c>
      <c r="G5" s="11" t="s">
        <v>111</v>
      </c>
      <c r="H5" s="11" t="s">
        <v>112</v>
      </c>
      <c r="I5" s="11" t="s">
        <v>113</v>
      </c>
      <c r="J5" s="11" t="s">
        <v>114</v>
      </c>
      <c r="K5" s="11" t="s">
        <v>115</v>
      </c>
      <c r="L5" s="11" t="s">
        <v>116</v>
      </c>
      <c r="M5" s="11" t="s">
        <v>117</v>
      </c>
      <c r="N5" s="11" t="s">
        <v>118</v>
      </c>
      <c r="O5" s="11" t="s">
        <v>119</v>
      </c>
      <c r="P5" s="11" t="s">
        <v>120</v>
      </c>
      <c r="Q5" s="11" t="s">
        <v>121</v>
      </c>
      <c r="R5" s="11" t="s">
        <v>122</v>
      </c>
      <c r="S5" s="11" t="s">
        <v>123</v>
      </c>
      <c r="T5" s="11" t="s">
        <v>124</v>
      </c>
      <c r="U5" s="11" t="s">
        <v>125</v>
      </c>
      <c r="V5" s="11" t="s">
        <v>126</v>
      </c>
      <c r="W5" s="11" t="s">
        <v>127</v>
      </c>
      <c r="X5" s="11" t="s">
        <v>128</v>
      </c>
      <c r="Y5" s="11" t="s">
        <v>129</v>
      </c>
      <c r="Z5" s="11" t="s">
        <v>130</v>
      </c>
      <c r="AA5" s="11" t="s">
        <v>131</v>
      </c>
      <c r="AB5" s="11" t="s">
        <v>132</v>
      </c>
      <c r="AC5" s="11" t="s">
        <v>133</v>
      </c>
      <c r="AD5" s="11" t="s">
        <v>134</v>
      </c>
      <c r="AE5" s="11" t="s">
        <v>135</v>
      </c>
      <c r="AF5" s="11" t="s">
        <v>136</v>
      </c>
      <c r="AG5" s="11" t="s">
        <v>137</v>
      </c>
      <c r="AH5" s="11" t="s">
        <v>138</v>
      </c>
      <c r="AI5" s="11" t="s">
        <v>139</v>
      </c>
      <c r="AJ5" s="12" t="s">
        <v>140</v>
      </c>
      <c r="AK5" s="16" t="s">
        <v>148</v>
      </c>
    </row>
    <row r="6" spans="2:37">
      <c r="B6" s="13">
        <f>'Product Item'!C:C</f>
        <v>1</v>
      </c>
      <c r="C6" s="13" t="str">
        <f>IF('Product Item'!D:D="","",'Product Item'!D:D)</f>
        <v>LG-0001-1</v>
      </c>
      <c r="D6" s="14" t="str">
        <f>IF('Product Item'!G:G="","",'Product Item'!G:G)</f>
        <v>LG TV 24' LCD</v>
      </c>
      <c r="E6" s="14">
        <f>IF(TabStock[[#This Row],[Product 
Name]]="","",0)</f>
        <v>0</v>
      </c>
      <c r="F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30</v>
      </c>
      <c r="K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-21</v>
      </c>
      <c r="V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-9</v>
      </c>
      <c r="W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-1</v>
      </c>
      <c r="AB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6" s="11">
        <f>SUM(TabStock[[#This Row],[First Stock]:[31]])</f>
        <v>-1</v>
      </c>
    </row>
    <row r="7" spans="2:37">
      <c r="B7" s="17">
        <f>'Product Item'!C:C</f>
        <v>2</v>
      </c>
      <c r="C7" s="13" t="str">
        <f>IF('Product Item'!D:D="","",'Product Item'!D:D)</f>
        <v>LG-0001-2</v>
      </c>
      <c r="D7" s="14" t="str">
        <f>IF('Product Item'!G:G="","",'Product Item'!G:G)</f>
        <v>LG TV 28' LCD</v>
      </c>
      <c r="E7" s="14">
        <f>IF(TabStock[[#This Row],[Product 
Name]]="","",0)</f>
        <v>0</v>
      </c>
      <c r="F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7" s="18">
        <f>SUM(TabStock[[#This Row],[First Stock]:[31]])</f>
        <v>0</v>
      </c>
    </row>
    <row r="8" spans="2:37">
      <c r="B8" s="17">
        <f>'Product Item'!C:C</f>
        <v>3</v>
      </c>
      <c r="C8" s="13" t="str">
        <f>IF('Product Item'!D:D="","",'Product Item'!D:D)</f>
        <v>LG-0001-3</v>
      </c>
      <c r="D8" s="14" t="str">
        <f>IF('Product Item'!G:G="","",'Product Item'!G:G)</f>
        <v>LG TV 50' 4K</v>
      </c>
      <c r="E8" s="14">
        <f>IF(TabStock[[#This Row],[Product 
Name]]="","",0)</f>
        <v>0</v>
      </c>
      <c r="F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3</v>
      </c>
      <c r="K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6</v>
      </c>
      <c r="M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1</v>
      </c>
      <c r="N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-2</v>
      </c>
      <c r="V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-2</v>
      </c>
      <c r="W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-2</v>
      </c>
      <c r="AA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8" s="18">
        <f>SUM(TabStock[[#This Row],[First Stock]:[31]])</f>
        <v>4</v>
      </c>
    </row>
    <row r="9" spans="2:37">
      <c r="B9" s="17">
        <f>'Product Item'!C:C</f>
        <v>4</v>
      </c>
      <c r="C9" s="13" t="str">
        <f>IF('Product Item'!D:D="","",'Product Item'!D:D)</f>
        <v>LG-0005-4</v>
      </c>
      <c r="D9" s="14" t="str">
        <f>IF('Product Item'!G:G="","",'Product Item'!G:G)</f>
        <v>LG Sound Extra</v>
      </c>
      <c r="E9" s="14">
        <f>IF(TabStock[[#This Row],[Product 
Name]]="","",0)</f>
        <v>0</v>
      </c>
      <c r="F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10</v>
      </c>
      <c r="K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5</v>
      </c>
      <c r="L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5</v>
      </c>
      <c r="M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-1</v>
      </c>
      <c r="V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-2</v>
      </c>
      <c r="AB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9" s="18">
        <f>SUM(TabStock[[#This Row],[First Stock]:[31]])</f>
        <v>17</v>
      </c>
    </row>
    <row r="10" spans="2:37">
      <c r="B10" s="17">
        <f>'Product Item'!C:C</f>
        <v>5</v>
      </c>
      <c r="C10" s="13" t="str">
        <f>IF('Product Item'!D:D="","",'Product Item'!D:D)</f>
        <v>SA-0002-5</v>
      </c>
      <c r="D10" s="14" t="str">
        <f>IF('Product Item'!G:G="","",'Product Item'!G:G)</f>
        <v>Samsung Z Fold 256GB</v>
      </c>
      <c r="E10" s="14">
        <f>IF(TabStock[[#This Row],[Product 
Name]]="","",0)</f>
        <v>0</v>
      </c>
      <c r="F1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2</v>
      </c>
      <c r="N1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-1</v>
      </c>
      <c r="V1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-2</v>
      </c>
      <c r="AB1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0" s="18">
        <f>SUM(TabStock[[#This Row],[First Stock]:[31]])</f>
        <v>-1</v>
      </c>
    </row>
    <row r="11" spans="2:37">
      <c r="B11" s="17">
        <f>'Product Item'!C:C</f>
        <v>6</v>
      </c>
      <c r="C11" s="13" t="str">
        <f>IF('Product Item'!D:D="","",'Product Item'!D:D)</f>
        <v>AS-0002-6</v>
      </c>
      <c r="D11" s="14" t="str">
        <f>IF('Product Item'!G:G="","",'Product Item'!G:G)</f>
        <v>Asus ZenPhone 128GB</v>
      </c>
      <c r="E11" s="14">
        <f>IF(TabStock[[#This Row],[Product 
Name]]="","",0)</f>
        <v>0</v>
      </c>
      <c r="F1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-2</v>
      </c>
      <c r="AB1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1" s="18">
        <f>SUM(TabStock[[#This Row],[First Stock]:[31]])</f>
        <v>-2</v>
      </c>
    </row>
    <row r="12" spans="2:37">
      <c r="B12" s="17">
        <f>'Product Item'!C:C</f>
        <v>7</v>
      </c>
      <c r="C12" s="13" t="str">
        <f>IF('Product Item'!D:D="","",'Product Item'!D:D)</f>
        <v>SA-0003-7</v>
      </c>
      <c r="D12" s="14" t="str">
        <f>IF('Product Item'!G:G="","",'Product Item'!G:G)</f>
        <v>Samsung Wash 1 Door</v>
      </c>
      <c r="E12" s="14">
        <f>IF(TabStock[[#This Row],[Product 
Name]]="","",0)</f>
        <v>0</v>
      </c>
      <c r="F1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-1</v>
      </c>
      <c r="AB1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2" s="18">
        <f>SUM(TabStock[[#This Row],[First Stock]:[31]])</f>
        <v>-1</v>
      </c>
    </row>
    <row r="13" spans="2:37">
      <c r="B13" s="17">
        <f>'Product Item'!C:C</f>
        <v>8</v>
      </c>
      <c r="C13" s="13" t="str">
        <f>IF('Product Item'!D:D="","",'Product Item'!D:D)</f>
        <v>AS-0002-8</v>
      </c>
      <c r="D13" s="14" t="str">
        <f>IF('Product Item'!G:G="","",'Product Item'!G:G)</f>
        <v>Asus Zenbook</v>
      </c>
      <c r="E13" s="14">
        <f>IF(TabStock[[#This Row],[Product 
Name]]="","",0)</f>
        <v>0</v>
      </c>
      <c r="F1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-1</v>
      </c>
      <c r="AB1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3" s="18">
        <f>SUM(TabStock[[#This Row],[First Stock]:[31]])</f>
        <v>-1</v>
      </c>
    </row>
    <row r="14" spans="2:37">
      <c r="B14" s="17">
        <f>'Product Item'!C:C</f>
        <v>9</v>
      </c>
      <c r="C14" s="13" t="str">
        <f>IF('Product Item'!D:D="","",'Product Item'!D:D)</f>
        <v>AP-0002-9</v>
      </c>
      <c r="D14" s="14" t="str">
        <f>IF('Product Item'!G:G="","",'Product Item'!G:G)</f>
        <v>Apple Iphone 15 Pro Max 1 TB</v>
      </c>
      <c r="E14" s="14">
        <f>IF(TabStock[[#This Row],[Product 
Name]]="","",0)</f>
        <v>0</v>
      </c>
      <c r="F1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2</v>
      </c>
      <c r="K1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-2</v>
      </c>
      <c r="V1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-1</v>
      </c>
      <c r="AB1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4" s="18">
        <f>SUM(TabStock[[#This Row],[First Stock]:[31]])</f>
        <v>-1</v>
      </c>
    </row>
    <row r="15" spans="2:37">
      <c r="B15" s="17">
        <f>'Product Item'!C:C</f>
        <v>10</v>
      </c>
      <c r="C15" s="13" t="str">
        <f>IF('Product Item'!D:D="","",'Product Item'!D:D)</f>
        <v>SA-0003-10</v>
      </c>
      <c r="D15" s="14" t="str">
        <f>IF('Product Item'!G:G="","",'Product Item'!G:G)</f>
        <v>Samsung Wash 2 Door</v>
      </c>
      <c r="E15" s="14">
        <f>IF(TabStock[[#This Row],[Product 
Name]]="","",0)</f>
        <v>0</v>
      </c>
      <c r="F1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-1</v>
      </c>
      <c r="AA1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1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5" s="18">
        <f>SUM(TabStock[[#This Row],[First Stock]:[31]])</f>
        <v>-1</v>
      </c>
    </row>
    <row r="16" spans="2:37">
      <c r="B16" s="17">
        <f>'Product Item'!C:C</f>
        <v>12</v>
      </c>
      <c r="C16" s="13" t="str">
        <f>IF('Product Item'!D:D="","",'Product Item'!D:D)</f>
        <v>PH-0004-12</v>
      </c>
      <c r="D16" s="14" t="str">
        <f>IF('Product Item'!G:G="","",'Product Item'!G:G)</f>
        <v>Philips Hue Standard Packet</v>
      </c>
      <c r="E16" s="14">
        <f>IF(TabStock[[#This Row],[Product 
Name]]="","",0)</f>
        <v>0</v>
      </c>
      <c r="F1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10</v>
      </c>
      <c r="L1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1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6" s="18">
        <f>SUM(TabStock[[#This Row],[First Stock]:[31]])</f>
        <v>10</v>
      </c>
    </row>
    <row r="17" spans="2:37">
      <c r="B17" s="17">
        <f>'Product Item'!C:C</f>
        <v>13</v>
      </c>
      <c r="C17" s="13" t="str">
        <f>IF('Product Item'!D:D="","",'Product Item'!D:D)</f>
        <v>AP-0002-13</v>
      </c>
      <c r="D17" s="14" t="str">
        <f>IF('Product Item'!G:G="","",'Product Item'!G:G)</f>
        <v>Apple Iphone 15 Pro 256GB</v>
      </c>
      <c r="E17" s="14">
        <f>IF(TabStock[[#This Row],[Product 
Name]]="","",0)</f>
        <v>0</v>
      </c>
      <c r="F1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1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7" s="18">
        <f>SUM(TabStock[[#This Row],[First Stock]:[31]])</f>
        <v>0</v>
      </c>
    </row>
    <row r="18" spans="2:37">
      <c r="B18" s="17">
        <f>'Product Item'!C:C</f>
        <v>14</v>
      </c>
      <c r="C18" s="13" t="str">
        <f>IF('Product Item'!D:D="","",'Product Item'!D:D)</f>
        <v>PH-0004-14</v>
      </c>
      <c r="D18" s="14" t="str">
        <f>IF('Product Item'!G:G="","",'Product Item'!G:G)</f>
        <v>Philips Hue Desk Lamp</v>
      </c>
      <c r="E18" s="14">
        <f>IF(TabStock[[#This Row],[Product 
Name]]="","",0)</f>
        <v>0</v>
      </c>
      <c r="F1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1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8" s="18">
        <f>SUM(TabStock[[#This Row],[First Stock]:[31]])</f>
        <v>0</v>
      </c>
    </row>
    <row r="19" spans="2:37">
      <c r="B19" s="17">
        <f>'Product Item'!C:C</f>
        <v>15</v>
      </c>
      <c r="C19" s="13" t="str">
        <f>IF('Product Item'!D:D="","",'Product Item'!D:D)</f>
        <v>SA-0005-15</v>
      </c>
      <c r="D19" s="14" t="str">
        <f>IF('Product Item'!G:G="","",'Product Item'!G:G)</f>
        <v>Samsung Desk Speaker</v>
      </c>
      <c r="E19" s="14">
        <f>IF(TabStock[[#This Row],[Product 
Name]]="","",0)</f>
        <v>0</v>
      </c>
      <c r="F1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1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1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1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1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1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1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1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1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1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1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1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1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1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1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1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1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1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1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1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1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1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1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1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1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1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1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1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1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1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1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19" s="18">
        <f>SUM(TabStock[[#This Row],[First Stock]:[31]])</f>
        <v>0</v>
      </c>
    </row>
    <row r="20" spans="2:37">
      <c r="B20" s="17">
        <f>'Product Item'!C:C</f>
        <v>16</v>
      </c>
      <c r="C20" s="13" t="str">
        <f>IF('Product Item'!D:D="","",'Product Item'!D:D)</f>
        <v>AP-0002-16</v>
      </c>
      <c r="D20" s="14" t="str">
        <f>IF('Product Item'!G:G="","",'Product Item'!G:G)</f>
        <v>Apple 13 Pro 128GB Blue</v>
      </c>
      <c r="E20" s="14">
        <f>IF(TabStock[[#This Row],[Product 
Name]]="","",0)</f>
        <v>0</v>
      </c>
      <c r="F2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0" s="18">
        <f>SUM(TabStock[[#This Row],[First Stock]:[31]])</f>
        <v>0</v>
      </c>
    </row>
    <row r="21" spans="2:37">
      <c r="B21" s="17">
        <f>'Product Item'!C:C</f>
        <v>17</v>
      </c>
      <c r="C21" s="13" t="str">
        <f>IF('Product Item'!D:D="","",'Product Item'!D:D)</f>
        <v>PH-0004-17</v>
      </c>
      <c r="D21" s="14" t="str">
        <f>IF('Product Item'!G:G="","",'Product Item'!G:G)</f>
        <v>Philips Zen 8</v>
      </c>
      <c r="E21" s="14">
        <f>IF(TabStock[[#This Row],[Product 
Name]]="","",0)</f>
        <v>0</v>
      </c>
      <c r="F2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30</v>
      </c>
      <c r="V2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-12</v>
      </c>
      <c r="X2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1" s="18">
        <f>SUM(TabStock[[#This Row],[First Stock]:[31]])</f>
        <v>18</v>
      </c>
    </row>
    <row r="22" spans="2:37">
      <c r="B22" s="17">
        <f>'Product Item'!C:C</f>
        <v>17</v>
      </c>
      <c r="C22" s="13" t="str">
        <f>IF('Product Item'!D:D="","",'Product Item'!D:D)</f>
        <v>AS-0002-17</v>
      </c>
      <c r="D22" s="14" t="str">
        <f>IF('Product Item'!G:G="","",'Product Item'!G:G)</f>
        <v>Asus Gaming Z 128GB</v>
      </c>
      <c r="E22" s="14">
        <f>IF(TabStock[[#This Row],[Product 
Name]]="","",0)</f>
        <v>0</v>
      </c>
      <c r="F2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10</v>
      </c>
      <c r="S2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-1</v>
      </c>
      <c r="V2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-1</v>
      </c>
      <c r="W2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2" s="18">
        <f>SUM(TabStock[[#This Row],[First Stock]:[31]])</f>
        <v>8</v>
      </c>
    </row>
    <row r="23" spans="2:37">
      <c r="B23" s="17">
        <f>'Product Item'!C:C</f>
        <v>18</v>
      </c>
      <c r="C23" s="13" t="str">
        <f>IF('Product Item'!D:D="","",'Product Item'!D:D)</f>
        <v>LG-0001-18</v>
      </c>
      <c r="D23" s="14" t="str">
        <f>IF('Product Item'!G:G="","",'Product Item'!G:G)</f>
        <v>LG TV 48' 8K</v>
      </c>
      <c r="E23" s="14">
        <f>IF(TabStock[[#This Row],[Product 
Name]]="","",0)</f>
        <v>0</v>
      </c>
      <c r="F2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-1</v>
      </c>
      <c r="Z2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3" s="18">
        <f>SUM(TabStock[[#This Row],[First Stock]:[31]])</f>
        <v>-1</v>
      </c>
    </row>
    <row r="24" spans="2:37">
      <c r="B24" s="17">
        <f>'Product Item'!C:C</f>
        <v>19</v>
      </c>
      <c r="C24" s="13" t="str">
        <f>IF('Product Item'!D:D="","",'Product Item'!D:D)</f>
        <v>SA-0002-19</v>
      </c>
      <c r="D24" s="14" t="str">
        <f>IF('Product Item'!G:G="","",'Product Item'!G:G)</f>
        <v>Samsung Z Flip 512GB</v>
      </c>
      <c r="E24" s="14">
        <f>IF(TabStock[[#This Row],[Product 
Name]]="","",0)</f>
        <v>0</v>
      </c>
      <c r="F2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4" s="18">
        <f>SUM(TabStock[[#This Row],[First Stock]:[31]])</f>
        <v>0</v>
      </c>
    </row>
    <row r="25" spans="2:37">
      <c r="B25" s="17">
        <f>'Product Item'!C:C</f>
        <v>20</v>
      </c>
      <c r="C25" s="13" t="str">
        <f>IF('Product Item'!D:D="","",'Product Item'!D:D)</f>
        <v>AS-0006-20</v>
      </c>
      <c r="D25" s="14" t="str">
        <f>IF('Product Item'!G:G="","",'Product Item'!G:G)</f>
        <v>Asus ROG Q1298</v>
      </c>
      <c r="E25" s="14">
        <f>IF(TabStock[[#This Row],[Product 
Name]]="","",0)</f>
        <v>0</v>
      </c>
      <c r="F2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5" s="18">
        <f>SUM(TabStock[[#This Row],[First Stock]:[31]])</f>
        <v>0</v>
      </c>
    </row>
    <row r="26" spans="2:37">
      <c r="B26" s="17">
        <f>'Product Item'!C:C</f>
        <v>21</v>
      </c>
      <c r="C26" s="13" t="str">
        <f>IF('Product Item'!D:D="","",'Product Item'!D:D)</f>
        <v>PH-0004-21</v>
      </c>
      <c r="D26" s="14" t="str">
        <f>IF('Product Item'!G:G="","",'Product Item'!G:G)</f>
        <v>Philips Lamps 3 in 1</v>
      </c>
      <c r="E26" s="14">
        <f>IF(TabStock[[#This Row],[Product 
Name]]="","",0)</f>
        <v>0</v>
      </c>
      <c r="F2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6" s="18">
        <f>SUM(TabStock[[#This Row],[First Stock]:[31]])</f>
        <v>0</v>
      </c>
    </row>
    <row r="27" spans="2:37">
      <c r="B27" s="17">
        <f>'Product Item'!C:C</f>
        <v>22</v>
      </c>
      <c r="C27" s="13" t="str">
        <f>IF('Product Item'!D:D="","",'Product Item'!D:D)</f>
        <v>SA-0001-22</v>
      </c>
      <c r="D27" s="14" t="str">
        <f>IF('Product Item'!G:G="","",'Product Item'!G:G)</f>
        <v>Samsung Extra HD</v>
      </c>
      <c r="E27" s="14">
        <f>IF(TabStock[[#This Row],[Product 
Name]]="","",0)</f>
        <v>0</v>
      </c>
      <c r="F2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5</v>
      </c>
      <c r="V2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7" s="18">
        <f>SUM(TabStock[[#This Row],[First Stock]:[31]])</f>
        <v>5</v>
      </c>
    </row>
    <row r="28" spans="2:37">
      <c r="B28" s="17">
        <f>'Product Item'!C:C</f>
        <v>23</v>
      </c>
      <c r="C28" s="13" t="str">
        <f>IF('Product Item'!D:D="","",'Product Item'!D:D)</f>
        <v>AP-0002-23</v>
      </c>
      <c r="D28" s="14" t="str">
        <f>IF('Product Item'!G:G="","",'Product Item'!G:G)</f>
        <v>Apple Iphone 15 Pro 150GB</v>
      </c>
      <c r="E28" s="14">
        <f>IF(TabStock[[#This Row],[Product 
Name]]="","",0)</f>
        <v>0</v>
      </c>
      <c r="F2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0</v>
      </c>
      <c r="V2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8" s="18">
        <f>SUM(TabStock[[#This Row],[First Stock]:[31]])</f>
        <v>0</v>
      </c>
    </row>
    <row r="29" spans="2:37">
      <c r="B29" s="17">
        <f>'Product Item'!C:C</f>
        <v>24</v>
      </c>
      <c r="C29" s="13" t="str">
        <f>IF('Product Item'!D:D="","",'Product Item'!D:D)</f>
        <v>LG-0003-24</v>
      </c>
      <c r="D29" s="14" t="str">
        <f>IF('Product Item'!G:G="","",'Product Item'!G:G)</f>
        <v xml:space="preserve">LG Wash Machine 2 Door </v>
      </c>
      <c r="E29" s="14">
        <f>IF(TabStock[[#This Row],[Product 
Name]]="","",0)</f>
        <v>0</v>
      </c>
      <c r="F2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>0</v>
      </c>
      <c r="G2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>0</v>
      </c>
      <c r="H2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>0</v>
      </c>
      <c r="I2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>0</v>
      </c>
      <c r="J2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>0</v>
      </c>
      <c r="K2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>0</v>
      </c>
      <c r="L2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>0</v>
      </c>
      <c r="M2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>0</v>
      </c>
      <c r="N2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>0</v>
      </c>
      <c r="O2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>0</v>
      </c>
      <c r="P2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>0</v>
      </c>
      <c r="Q2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>0</v>
      </c>
      <c r="R2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>0</v>
      </c>
      <c r="S2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>0</v>
      </c>
      <c r="T2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>0</v>
      </c>
      <c r="U2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>20</v>
      </c>
      <c r="V2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>0</v>
      </c>
      <c r="W2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>0</v>
      </c>
      <c r="X2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>0</v>
      </c>
      <c r="Y2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>0</v>
      </c>
      <c r="Z2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>0</v>
      </c>
      <c r="AA2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>0</v>
      </c>
      <c r="AB2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>0</v>
      </c>
      <c r="AC2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>0</v>
      </c>
      <c r="AD2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>0</v>
      </c>
      <c r="AE2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>0</v>
      </c>
      <c r="AF2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>0</v>
      </c>
      <c r="AG2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>0</v>
      </c>
      <c r="AH2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>0</v>
      </c>
      <c r="AI2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>0</v>
      </c>
      <c r="AJ2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>0</v>
      </c>
      <c r="AK29" s="18">
        <f>SUM(TabStock[[#This Row],[First Stock]:[31]])</f>
        <v>20</v>
      </c>
    </row>
    <row r="30" spans="2:37">
      <c r="B30" s="17" t="str">
        <f>'Product Item'!C:C</f>
        <v/>
      </c>
      <c r="C30" s="13" t="str">
        <f>IF('Product Item'!D:D="","",'Product Item'!D:D)</f>
        <v/>
      </c>
      <c r="D30" s="14" t="str">
        <f>IF('Product Item'!G:G="","",'Product Item'!G:G)</f>
        <v/>
      </c>
      <c r="E30" s="14" t="str">
        <f>IF(TabStock[[#This Row],[Product 
Name]]="","",0)</f>
        <v/>
      </c>
      <c r="F30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/>
      </c>
      <c r="G30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/>
      </c>
      <c r="H30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/>
      </c>
      <c r="I30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/>
      </c>
      <c r="J30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/>
      </c>
      <c r="K30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/>
      </c>
      <c r="L30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/>
      </c>
      <c r="M30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/>
      </c>
      <c r="N30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/>
      </c>
      <c r="O30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/>
      </c>
      <c r="P30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/>
      </c>
      <c r="Q30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/>
      </c>
      <c r="R30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/>
      </c>
      <c r="S30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/>
      </c>
      <c r="T30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/>
      </c>
      <c r="U30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/>
      </c>
      <c r="V30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/>
      </c>
      <c r="W30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/>
      </c>
      <c r="X30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/>
      </c>
      <c r="Y30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/>
      </c>
      <c r="Z30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/>
      </c>
      <c r="AA30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/>
      </c>
      <c r="AB30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/>
      </c>
      <c r="AC30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/>
      </c>
      <c r="AD30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/>
      </c>
      <c r="AE30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/>
      </c>
      <c r="AF30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/>
      </c>
      <c r="AG30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/>
      </c>
      <c r="AH30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/>
      </c>
      <c r="AI30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/>
      </c>
      <c r="AJ30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/>
      </c>
      <c r="AK30" s="18">
        <f>SUM(TabStock[[#This Row],[First Stock]:[31]])</f>
        <v>0</v>
      </c>
    </row>
    <row r="31" spans="2:37">
      <c r="B31" s="17" t="str">
        <f>'Product Item'!C:C</f>
        <v/>
      </c>
      <c r="C31" s="13" t="str">
        <f>IF('Product Item'!D:D="","",'Product Item'!D:D)</f>
        <v/>
      </c>
      <c r="D31" s="14" t="str">
        <f>IF('Product Item'!G:G="","",'Product Item'!G:G)</f>
        <v/>
      </c>
      <c r="E31" s="14" t="str">
        <f>IF(TabStock[[#This Row],[Product 
Name]]="","",0)</f>
        <v/>
      </c>
      <c r="F31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/>
      </c>
      <c r="G31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/>
      </c>
      <c r="H31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/>
      </c>
      <c r="I31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/>
      </c>
      <c r="J31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/>
      </c>
      <c r="K31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/>
      </c>
      <c r="L31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/>
      </c>
      <c r="M31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/>
      </c>
      <c r="N31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/>
      </c>
      <c r="O31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/>
      </c>
      <c r="P31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/>
      </c>
      <c r="Q31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/>
      </c>
      <c r="R31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/>
      </c>
      <c r="S31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/>
      </c>
      <c r="T31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/>
      </c>
      <c r="U31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/>
      </c>
      <c r="V31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/>
      </c>
      <c r="W31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/>
      </c>
      <c r="X31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/>
      </c>
      <c r="Y31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/>
      </c>
      <c r="Z31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/>
      </c>
      <c r="AA31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/>
      </c>
      <c r="AB31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/>
      </c>
      <c r="AC31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/>
      </c>
      <c r="AD31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/>
      </c>
      <c r="AE31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/>
      </c>
      <c r="AF31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/>
      </c>
      <c r="AG31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/>
      </c>
      <c r="AH31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/>
      </c>
      <c r="AI31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/>
      </c>
      <c r="AJ31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/>
      </c>
      <c r="AK31" s="18">
        <f>SUM(TabStock[[#This Row],[First Stock]:[31]])</f>
        <v>0</v>
      </c>
    </row>
    <row r="32" spans="2:37">
      <c r="B32" s="17" t="str">
        <f>'Product Item'!C:C</f>
        <v/>
      </c>
      <c r="C32" s="13" t="str">
        <f>IF('Product Item'!D:D="","",'Product Item'!D:D)</f>
        <v/>
      </c>
      <c r="D32" s="18" t="str">
        <f>IF('Product Item'!G:G="","",'Product Item'!G:G)</f>
        <v/>
      </c>
      <c r="E32" s="14" t="str">
        <f>IF(TabStock[[#This Row],[Product 
Name]]="","",0)</f>
        <v/>
      </c>
      <c r="F32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SUMIFS(Sales!$H$5:$H$1011, Sales!$G$5:$G$1011, 'Stock Unit'!$D$6:$D$1000, Sales!$D$5:$D$1011, 'Stock Unit'!$D$3+TabStock[[#Headers],[1]]-1))</f>
        <v/>
      </c>
      <c r="G32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SUMIFS(Sales!$H$5:$H$1011, Sales!$G$5:$G$1011, 'Stock Unit'!$D$6:$D$1000, Sales!$D$5:$D$1011, 'Stock Unit'!$D$3+TabStock[[#Headers],[2]]-1))</f>
        <v/>
      </c>
      <c r="H32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SUMIFS(Sales!$H$5:$H$1011, Sales!$G$5:$G$1011, 'Stock Unit'!$D$6:$D$1000, Sales!$D$5:$D$1011, 'Stock Unit'!$D$3+TabStock[[#Headers],[3]]-1))</f>
        <v/>
      </c>
      <c r="I32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SUMIFS(Sales!$H$5:$H$1011, Sales!$G$5:$G$1011, 'Stock Unit'!$D$6:$D$1000, Sales!$D$5:$D$1011, 'Stock Unit'!$D$3+TabStock[[#Headers],[4]]-1))</f>
        <v/>
      </c>
      <c r="J32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SUMIFS(Sales!$H$5:$H$1011, Sales!$G$5:$G$1011, 'Stock Unit'!$D$6:$D$1000, Sales!$D$5:$D$1011, 'Stock Unit'!$D$3+TabStock[[#Headers],[5]]-1))</f>
        <v/>
      </c>
      <c r="K32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SUMIFS(Sales!$H$5:$H$1011, Sales!$G$5:$G$1011, 'Stock Unit'!$D$6:$D$1000, Sales!$D$5:$D$1011, 'Stock Unit'!$D$3+TabStock[[#Headers],[6]]-1))</f>
        <v/>
      </c>
      <c r="L32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SUMIFS(Sales!$H$5:$H$1011, Sales!$G$5:$G$1011, 'Stock Unit'!$D$6:$D$1000, Sales!$D$5:$D$1011, 'Stock Unit'!$D$3+TabStock[[#Headers],[7]]-1))</f>
        <v/>
      </c>
      <c r="M32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SUMIFS(Sales!$H$5:$H$1011, Sales!$G$5:$G$1011, 'Stock Unit'!$D$6:$D$1000, Sales!$D$5:$D$1011, 'Stock Unit'!$D$3+TabStock[[#Headers],[8]]-1))</f>
        <v/>
      </c>
      <c r="N32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SUMIFS(Sales!$H$5:$H$1011, Sales!$G$5:$G$1011, 'Stock Unit'!$D$6:$D$1000, Sales!$D$5:$D$1011, 'Stock Unit'!$D$3+TabStock[[#Headers],[9]]-1))</f>
        <v/>
      </c>
      <c r="O32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SUMIFS(Sales!$H$5:$H$1011, Sales!$G$5:$G$1011, 'Stock Unit'!$D$6:$D$1000, Sales!$D$5:$D$1011, 'Stock Unit'!$D$3+TabStock[[#Headers],[10]]-1))</f>
        <v/>
      </c>
      <c r="P32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SUMIFS(Sales!$H$5:$H$1011, Sales!$G$5:$G$1011, 'Stock Unit'!$D$6:$D$1000, Sales!$D$5:$D$1011, 'Stock Unit'!$D$3+TabStock[[#Headers],[11]]-1))</f>
        <v/>
      </c>
      <c r="Q32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SUMIFS(Sales!$H$5:$H$1011, Sales!$G$5:$G$1011, 'Stock Unit'!$D$6:$D$1000, Sales!$D$5:$D$1011, 'Stock Unit'!$D$3+TabStock[[#Headers],[12]]-1))</f>
        <v/>
      </c>
      <c r="R32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SUMIFS(Sales!$H$5:$H$1011, Sales!$G$5:$G$1011, 'Stock Unit'!$D$6:$D$1000, Sales!$D$5:$D$1011, 'Stock Unit'!$D$3+TabStock[[#Headers],[13]]-1))</f>
        <v/>
      </c>
      <c r="S32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SUMIFS(Sales!$H$5:$H$1011, Sales!$G$5:$G$1011, 'Stock Unit'!$D$6:$D$1000, Sales!$D$5:$D$1011, 'Stock Unit'!$D$3+TabStock[[#Headers],[14]]-1))</f>
        <v/>
      </c>
      <c r="T32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SUMIFS(Sales!$H$5:$H$1011, Sales!$G$5:$G$1011, 'Stock Unit'!$D$6:$D$1000, Sales!$D$5:$D$1011, 'Stock Unit'!$D$3+TabStock[[#Headers],[15]]-1))</f>
        <v/>
      </c>
      <c r="U32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SUMIFS(Sales!$H$5:$H$1011, Sales!$G$5:$G$1011, 'Stock Unit'!$D$6:$D$1000, Sales!$D$5:$D$1011, 'Stock Unit'!$D$3+TabStock[[#Headers],[16]]-1))</f>
        <v/>
      </c>
      <c r="V32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SUMIFS(Sales!$H$5:$H$1011, Sales!$G$5:$G$1011, 'Stock Unit'!$D$6:$D$1000, Sales!$D$5:$D$1011, 'Stock Unit'!$D$3+TabStock[[#Headers],[17]]-1))</f>
        <v/>
      </c>
      <c r="W32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SUMIFS(Sales!$H$5:$H$1011, Sales!$G$5:$G$1011, 'Stock Unit'!$D$6:$D$1000, Sales!$D$5:$D$1011, 'Stock Unit'!$D$3+TabStock[[#Headers],[18]]-1))</f>
        <v/>
      </c>
      <c r="X32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SUMIFS(Sales!$H$5:$H$1011, Sales!$G$5:$G$1011, 'Stock Unit'!$D$6:$D$1000, Sales!$D$5:$D$1011, 'Stock Unit'!$D$3+TabStock[[#Headers],[19]]-1))</f>
        <v/>
      </c>
      <c r="Y32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SUMIFS(Sales!$H$5:$H$1011, Sales!$G$5:$G$1011, 'Stock Unit'!$D$6:$D$1000, Sales!$D$5:$D$1011, 'Stock Unit'!$D$3+TabStock[[#Headers],[20]]-1))</f>
        <v/>
      </c>
      <c r="Z32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SUMIFS(Sales!$H$5:$H$1011, Sales!$G$5:$G$1011, 'Stock Unit'!$D$6:$D$1000, Sales!$D$5:$D$1011, 'Stock Unit'!$D$3+TabStock[[#Headers],[21]]-1))</f>
        <v/>
      </c>
      <c r="AA32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SUMIFS(Sales!$H$5:$H$1011, Sales!$G$5:$G$1011, 'Stock Unit'!$D$6:$D$1000, Sales!$D$5:$D$1011, 'Stock Unit'!$D$3+TabStock[[#Headers],[22]]-1))</f>
        <v/>
      </c>
      <c r="AB32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SUMIFS(Sales!$H$5:$H$1011, Sales!$G$5:$G$1011, 'Stock Unit'!$D$6:$D$1000, Sales!$D$5:$D$1011, 'Stock Unit'!$D$3+TabStock[[#Headers],[23]]-1))</f>
        <v/>
      </c>
      <c r="AC32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SUMIFS(Sales!$H$5:$H$1011, Sales!$G$5:$G$1011, 'Stock Unit'!$D$6:$D$1000, Sales!$D$5:$D$1011, 'Stock Unit'!$D$3+TabStock[[#Headers],[24]]-1))</f>
        <v/>
      </c>
      <c r="AD32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SUMIFS(Sales!$H$5:$H$1011, Sales!$G$5:$G$1011, 'Stock Unit'!$D$6:$D$1000, Sales!$D$5:$D$1011, 'Stock Unit'!$D$3+TabStock[[#Headers],[25]]-1))</f>
        <v/>
      </c>
      <c r="AE32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SUMIFS(Sales!$H$5:$H$1011, Sales!$G$5:$G$1011, 'Stock Unit'!$D$6:$D$1000, Sales!$D$5:$D$1011, 'Stock Unit'!$D$3+TabStock[[#Headers],[26]]-1))</f>
        <v/>
      </c>
      <c r="AF32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SUMIFS(Sales!$H$5:$H$1011, Sales!$G$5:$G$1011, 'Stock Unit'!$D$6:$D$1000, Sales!$D$5:$D$1011, 'Stock Unit'!$D$3+TabStock[[#Headers],[27]]-1))</f>
        <v/>
      </c>
      <c r="AG32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SUMIFS(Sales!$H$5:$H$1011, Sales!$G$5:$G$1011, 'Stock Unit'!$D$6:$D$1000, Sales!$D$5:$D$1011, 'Stock Unit'!$D$3+TabStock[[#Headers],[28]]-1))</f>
        <v/>
      </c>
      <c r="AH32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SUMIFS(Sales!$H$5:$H$1011, Sales!$G$5:$G$1011, 'Stock Unit'!$D$6:$D$1000, Sales!$D$5:$D$1011, 'Stock Unit'!$D$3+TabStock[[#Headers],[29]]-1))</f>
        <v/>
      </c>
      <c r="AI32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SUMIFS(Sales!$H$5:$H$1011, Sales!$G$5:$G$1011, 'Stock Unit'!$D$6:$D$1000, Sales!$D$5:$D$1011, 'Stock Unit'!$D$3+TabStock[[#Headers],[30]]-1))</f>
        <v/>
      </c>
      <c r="AJ32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SUMIFS(Sales!$H$5:$H$1011, Sales!$G$5:$G$1011, 'Stock Unit'!$D$6:$D$1000, Sales!$D$5:$D$1011, 'Stock Unit'!$D$3+TabStock[[#Headers],[31]]-1))</f>
        <v/>
      </c>
      <c r="AK32" s="14">
        <f>SUM(TabStock[[#This Row],[First Stock]:[31]])</f>
        <v>0</v>
      </c>
    </row>
    <row r="33" spans="2:37">
      <c r="B33" s="13" t="s">
        <v>143</v>
      </c>
      <c r="C33" s="13"/>
      <c r="E33" s="14">
        <f>SUBTOTAL(109,TabStock[First Stock])</f>
        <v>0</v>
      </c>
      <c r="F33" s="14">
        <f>SUBTOTAL(109,TabStock[1])</f>
        <v>0</v>
      </c>
      <c r="G33" s="14">
        <f>SUBTOTAL(109,TabStock[2])</f>
        <v>0</v>
      </c>
      <c r="H33" s="14">
        <f>SUBTOTAL(109,TabStock[3])</f>
        <v>0</v>
      </c>
      <c r="I33" s="14">
        <f>SUBTOTAL(109,TabStock[4])</f>
        <v>0</v>
      </c>
      <c r="J33" s="14">
        <f>SUBTOTAL(109,TabStock[5])</f>
        <v>45</v>
      </c>
      <c r="K33" s="14">
        <f>SUBTOTAL(109,TabStock[6])</f>
        <v>15</v>
      </c>
      <c r="L33" s="14">
        <f>SUBTOTAL(109,TabStock[7])</f>
        <v>11</v>
      </c>
      <c r="M33" s="14">
        <f>SUBTOTAL(109,TabStock[8])</f>
        <v>3</v>
      </c>
      <c r="N33" s="14">
        <f>SUBTOTAL(109,TabStock[9])</f>
        <v>0</v>
      </c>
      <c r="O33" s="14">
        <f>SUBTOTAL(109,TabStock[10])</f>
        <v>0</v>
      </c>
      <c r="P33" s="14">
        <f>SUBTOTAL(109,TabStock[11])</f>
        <v>0</v>
      </c>
      <c r="Q33" s="14">
        <f>SUBTOTAL(109,TabStock[12])</f>
        <v>0</v>
      </c>
      <c r="R33" s="14">
        <f>SUBTOTAL(109,TabStock[13])</f>
        <v>10</v>
      </c>
      <c r="S33" s="14">
        <f>SUBTOTAL(109,TabStock[14])</f>
        <v>0</v>
      </c>
      <c r="T33" s="14">
        <f>SUBTOTAL(109,TabStock[15])</f>
        <v>0</v>
      </c>
      <c r="U33" s="14">
        <f>SUBTOTAL(109,TabStock[16])</f>
        <v>27</v>
      </c>
      <c r="V33" s="14">
        <f>SUBTOTAL(109,TabStock[17])</f>
        <v>-12</v>
      </c>
      <c r="W33" s="14">
        <f>SUBTOTAL(109,TabStock[18])</f>
        <v>-12</v>
      </c>
      <c r="X33" s="14">
        <f>SUBTOTAL(109,TabStock[19])</f>
        <v>0</v>
      </c>
      <c r="Y33" s="14">
        <f>SUBTOTAL(109,TabStock[20])</f>
        <v>-1</v>
      </c>
      <c r="Z33" s="14">
        <f>SUBTOTAL(109,TabStock[21])</f>
        <v>-3</v>
      </c>
      <c r="AA33" s="14">
        <f>SUBTOTAL(109,TabStock[22])</f>
        <v>-10</v>
      </c>
      <c r="AB33" s="14">
        <f>SUBTOTAL(109,TabStock[23])</f>
        <v>0</v>
      </c>
      <c r="AC33" s="14">
        <f>SUBTOTAL(109,TabStock[24])</f>
        <v>0</v>
      </c>
      <c r="AD33" s="14">
        <f>SUBTOTAL(109,TabStock[25])</f>
        <v>0</v>
      </c>
      <c r="AE33" s="14">
        <f>SUBTOTAL(109,TabStock[26])</f>
        <v>0</v>
      </c>
      <c r="AF33" s="14">
        <f>SUBTOTAL(109,TabStock[27])</f>
        <v>0</v>
      </c>
      <c r="AG33" s="14">
        <f>SUBTOTAL(109,TabStock[28])</f>
        <v>0</v>
      </c>
      <c r="AH33" s="14">
        <f>SUBTOTAL(109,TabStock[29])</f>
        <v>0</v>
      </c>
      <c r="AI33" s="14">
        <f>SUBTOTAL(109,TabStock[30])</f>
        <v>0</v>
      </c>
      <c r="AJ33" s="14">
        <f>SUBTOTAL(109,TabStock[31])</f>
        <v>0</v>
      </c>
      <c r="AK33" s="14">
        <f>SUBTOTAL(109,TabStock[Last 
Stock])</f>
        <v>73</v>
      </c>
    </row>
  </sheetData>
  <phoneticPr fontId="1" type="noConversion"/>
  <conditionalFormatting sqref="F6:AJ32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F5:AJ5">
    <cfRule type="expression" dxfId="4" priority="2">
      <formula>$D$3+F5-1=TODAY()</formula>
    </cfRule>
  </conditionalFormatting>
  <conditionalFormatting sqref="AK1:AK1048576">
    <cfRule type="cellIs" dxfId="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T97"/>
  <sheetViews>
    <sheetView topLeftCell="I1" zoomScaleNormal="100" workbookViewId="0">
      <pane ySplit="1" topLeftCell="A11" activePane="bottomLeft" state="frozen"/>
      <selection activeCell="F1" sqref="F1"/>
      <selection pane="bottomLeft" activeCell="U26" sqref="U26"/>
    </sheetView>
  </sheetViews>
  <sheetFormatPr defaultRowHeight="14.4"/>
  <cols>
    <col min="1" max="1" width="10.5546875" style="44" bestFit="1" customWidth="1"/>
    <col min="2" max="2" width="26.21875" style="49" bestFit="1" customWidth="1"/>
    <col min="3" max="3" width="10.5546875" style="45" bestFit="1" customWidth="1"/>
    <col min="4" max="4" width="25.77734375" style="45" bestFit="1" customWidth="1"/>
    <col min="5" max="5" width="13.21875" style="47" customWidth="1"/>
    <col min="6" max="6" width="19.44140625" style="48" customWidth="1"/>
    <col min="7" max="7" width="13.88671875" style="47" bestFit="1" customWidth="1"/>
    <col min="8" max="8" width="19.77734375" style="47" bestFit="1" customWidth="1"/>
    <col min="9" max="9" width="20.6640625" style="48" bestFit="1" customWidth="1"/>
    <col min="12" max="12" width="12.77734375" style="50" bestFit="1" customWidth="1"/>
    <col min="13" max="13" width="10.44140625" style="51" bestFit="1" customWidth="1"/>
    <col min="14" max="14" width="25.77734375" style="51" bestFit="1" customWidth="1"/>
    <col min="15" max="15" width="15.33203125" style="47" bestFit="1" customWidth="1"/>
    <col min="16" max="16" width="9.88671875" style="47" customWidth="1"/>
    <col min="17" max="17" width="18.109375" style="69" bestFit="1" customWidth="1"/>
    <col min="18" max="18" width="15.109375" style="51" bestFit="1" customWidth="1"/>
  </cols>
  <sheetData>
    <row r="1" spans="1:18" ht="17.399999999999999" customHeight="1">
      <c r="A1" s="58" t="s">
        <v>151</v>
      </c>
      <c r="B1" s="59" t="s">
        <v>104</v>
      </c>
      <c r="C1" s="60" t="s">
        <v>0</v>
      </c>
      <c r="D1" s="61" t="s">
        <v>175</v>
      </c>
      <c r="E1" s="62" t="s">
        <v>172</v>
      </c>
      <c r="F1" s="63" t="s">
        <v>99</v>
      </c>
      <c r="G1" s="62" t="s">
        <v>181</v>
      </c>
      <c r="H1" s="62" t="s">
        <v>182</v>
      </c>
      <c r="I1" s="63" t="s">
        <v>174</v>
      </c>
      <c r="J1" s="31"/>
      <c r="K1" s="31"/>
      <c r="L1" s="64" t="s">
        <v>183</v>
      </c>
      <c r="M1" s="65" t="s">
        <v>0</v>
      </c>
      <c r="N1" s="66" t="s">
        <v>175</v>
      </c>
      <c r="O1" s="67" t="s">
        <v>173</v>
      </c>
      <c r="P1" s="67" t="s">
        <v>176</v>
      </c>
      <c r="Q1" s="68" t="s">
        <v>169</v>
      </c>
      <c r="R1" s="65" t="s">
        <v>180</v>
      </c>
    </row>
    <row r="2" spans="1:18">
      <c r="A2" s="44">
        <v>45448</v>
      </c>
      <c r="B2" s="45" t="s">
        <v>188</v>
      </c>
      <c r="C2" s="45" t="s">
        <v>185</v>
      </c>
      <c r="D2" s="45" t="s">
        <v>32</v>
      </c>
      <c r="E2" s="45">
        <v>2</v>
      </c>
      <c r="F2" s="46">
        <v>24252000</v>
      </c>
      <c r="G2" s="47">
        <v>2</v>
      </c>
      <c r="H2" s="47">
        <v>0</v>
      </c>
      <c r="I2" s="48">
        <v>0</v>
      </c>
      <c r="L2" s="50" t="s">
        <v>215</v>
      </c>
      <c r="M2" s="51" t="s">
        <v>204</v>
      </c>
      <c r="N2" s="51" t="s">
        <v>11</v>
      </c>
      <c r="O2" s="45">
        <v>11</v>
      </c>
      <c r="P2" s="47">
        <v>11</v>
      </c>
      <c r="Q2" s="69">
        <v>4359000</v>
      </c>
    </row>
    <row r="3" spans="1:18">
      <c r="A3" s="44">
        <v>45456</v>
      </c>
      <c r="B3" s="45" t="s">
        <v>189</v>
      </c>
      <c r="C3" s="45" t="s">
        <v>190</v>
      </c>
      <c r="D3" s="45" t="s">
        <v>142</v>
      </c>
      <c r="E3" s="45">
        <v>10</v>
      </c>
      <c r="F3" s="48">
        <v>7500000</v>
      </c>
      <c r="G3" s="47">
        <v>2</v>
      </c>
      <c r="H3" s="47">
        <v>8</v>
      </c>
      <c r="I3" s="48">
        <v>60000000</v>
      </c>
      <c r="L3" s="50" t="s">
        <v>216</v>
      </c>
      <c r="M3" s="51" t="s">
        <v>187</v>
      </c>
      <c r="N3" s="51" t="s">
        <v>28</v>
      </c>
      <c r="O3" s="45">
        <v>1</v>
      </c>
      <c r="P3" s="47">
        <v>1</v>
      </c>
      <c r="Q3" s="69">
        <v>23900000</v>
      </c>
    </row>
    <row r="4" spans="1:18">
      <c r="A4" s="44">
        <v>45448</v>
      </c>
      <c r="B4" s="45" t="s">
        <v>202</v>
      </c>
      <c r="C4" s="45" t="s">
        <v>204</v>
      </c>
      <c r="D4" s="45" t="s">
        <v>11</v>
      </c>
      <c r="E4" s="45">
        <v>10</v>
      </c>
      <c r="F4" s="46">
        <v>2234000</v>
      </c>
      <c r="G4" s="47">
        <v>10</v>
      </c>
      <c r="H4" s="47">
        <v>0</v>
      </c>
      <c r="I4" s="48">
        <v>0</v>
      </c>
      <c r="L4" s="50" t="s">
        <v>217</v>
      </c>
      <c r="M4" s="51" t="s">
        <v>197</v>
      </c>
      <c r="N4" s="51" t="s">
        <v>15</v>
      </c>
      <c r="O4" s="45">
        <v>1</v>
      </c>
      <c r="P4" s="47">
        <v>1</v>
      </c>
      <c r="Q4" s="69">
        <v>1850000</v>
      </c>
    </row>
    <row r="5" spans="1:18">
      <c r="A5" s="44">
        <v>45448</v>
      </c>
      <c r="B5" s="45" t="s">
        <v>203</v>
      </c>
      <c r="C5" s="45" t="s">
        <v>204</v>
      </c>
      <c r="D5" s="45" t="s">
        <v>11</v>
      </c>
      <c r="E5" s="45">
        <v>20</v>
      </c>
      <c r="F5" s="46">
        <v>2125000</v>
      </c>
      <c r="G5" s="47">
        <v>20</v>
      </c>
      <c r="H5" s="47">
        <v>0</v>
      </c>
      <c r="I5" s="48">
        <v>0</v>
      </c>
      <c r="L5" s="50" t="s">
        <v>208</v>
      </c>
      <c r="M5" s="51" t="s">
        <v>185</v>
      </c>
      <c r="N5" s="51" t="s">
        <v>32</v>
      </c>
      <c r="O5" s="45">
        <v>2</v>
      </c>
      <c r="P5" s="47">
        <v>2</v>
      </c>
      <c r="Q5" s="69">
        <v>24252000</v>
      </c>
    </row>
    <row r="6" spans="1:18">
      <c r="A6" s="44">
        <v>45448</v>
      </c>
      <c r="B6" s="45" t="s">
        <v>191</v>
      </c>
      <c r="C6" s="45" t="s">
        <v>192</v>
      </c>
      <c r="D6" s="45" t="s">
        <v>13</v>
      </c>
      <c r="E6" s="45">
        <v>2</v>
      </c>
      <c r="F6" s="48">
        <v>43200000</v>
      </c>
      <c r="G6" s="47">
        <v>2</v>
      </c>
      <c r="H6" s="47">
        <v>0</v>
      </c>
      <c r="I6" s="48">
        <v>0</v>
      </c>
      <c r="L6" s="50" t="s">
        <v>211</v>
      </c>
      <c r="M6" s="51" t="s">
        <v>204</v>
      </c>
      <c r="N6" s="51" t="s">
        <v>11</v>
      </c>
      <c r="O6" s="45">
        <v>1</v>
      </c>
      <c r="P6" s="47">
        <v>1</v>
      </c>
      <c r="Q6" s="69">
        <v>2125000</v>
      </c>
    </row>
    <row r="7" spans="1:18">
      <c r="A7" s="44">
        <v>45448</v>
      </c>
      <c r="B7" s="45" t="s">
        <v>193</v>
      </c>
      <c r="C7" s="45" t="s">
        <v>192</v>
      </c>
      <c r="D7" s="45" t="s">
        <v>13</v>
      </c>
      <c r="E7" s="45">
        <v>1</v>
      </c>
      <c r="F7" s="46">
        <v>43000000</v>
      </c>
      <c r="G7" s="47">
        <v>1</v>
      </c>
      <c r="H7" s="47">
        <v>0</v>
      </c>
      <c r="I7" s="48">
        <v>0</v>
      </c>
      <c r="L7" s="50" t="s">
        <v>219</v>
      </c>
      <c r="M7" s="51" t="s">
        <v>192</v>
      </c>
      <c r="N7" s="51" t="s">
        <v>13</v>
      </c>
      <c r="O7" s="45">
        <v>1</v>
      </c>
      <c r="P7" s="47">
        <v>1</v>
      </c>
      <c r="Q7" s="69">
        <v>43200000</v>
      </c>
    </row>
    <row r="8" spans="1:18">
      <c r="A8" s="44">
        <v>45450</v>
      </c>
      <c r="B8" s="45" t="s">
        <v>194</v>
      </c>
      <c r="C8" s="45" t="s">
        <v>192</v>
      </c>
      <c r="D8" s="45" t="s">
        <v>13</v>
      </c>
      <c r="E8" s="45">
        <v>6</v>
      </c>
      <c r="F8" s="48">
        <v>43000000</v>
      </c>
      <c r="G8" s="47">
        <v>3</v>
      </c>
      <c r="H8" s="47">
        <v>3</v>
      </c>
      <c r="I8" s="48">
        <v>129000000</v>
      </c>
      <c r="L8" s="50" t="s">
        <v>214</v>
      </c>
      <c r="M8" s="51" t="s">
        <v>204</v>
      </c>
      <c r="N8" s="51" t="s">
        <v>11</v>
      </c>
      <c r="O8" s="45">
        <v>1</v>
      </c>
      <c r="P8" s="47">
        <v>1</v>
      </c>
      <c r="Q8" s="69">
        <v>2125000</v>
      </c>
    </row>
    <row r="9" spans="1:18">
      <c r="A9" s="44">
        <v>45451</v>
      </c>
      <c r="B9" s="45" t="s">
        <v>195</v>
      </c>
      <c r="C9" s="45" t="s">
        <v>192</v>
      </c>
      <c r="D9" s="45" t="s">
        <v>13</v>
      </c>
      <c r="E9" s="45">
        <v>1</v>
      </c>
      <c r="F9" s="48">
        <v>40000000</v>
      </c>
      <c r="H9" s="47">
        <v>1</v>
      </c>
      <c r="I9" s="48">
        <v>40000000</v>
      </c>
      <c r="L9" s="50" t="s">
        <v>218</v>
      </c>
      <c r="M9" s="51" t="s">
        <v>192</v>
      </c>
      <c r="N9" s="51" t="s">
        <v>13</v>
      </c>
      <c r="O9" s="45">
        <v>1</v>
      </c>
      <c r="P9" s="47">
        <v>1</v>
      </c>
      <c r="Q9" s="69">
        <v>43200000</v>
      </c>
    </row>
    <row r="10" spans="1:18">
      <c r="A10" s="44">
        <v>45459</v>
      </c>
      <c r="B10" s="45" t="s">
        <v>209</v>
      </c>
      <c r="C10" s="45" t="s">
        <v>210</v>
      </c>
      <c r="D10" s="45" t="s">
        <v>160</v>
      </c>
      <c r="E10" s="45">
        <v>20</v>
      </c>
      <c r="F10" s="48">
        <v>7000000</v>
      </c>
      <c r="H10" s="47">
        <v>20</v>
      </c>
      <c r="I10" s="48">
        <v>140000000</v>
      </c>
      <c r="L10" s="50" t="s">
        <v>221</v>
      </c>
      <c r="M10" s="51" t="s">
        <v>204</v>
      </c>
      <c r="N10" s="51" t="s">
        <v>11</v>
      </c>
      <c r="O10" s="45">
        <v>5</v>
      </c>
      <c r="P10" s="47">
        <v>5</v>
      </c>
      <c r="Q10" s="69">
        <v>2125000</v>
      </c>
    </row>
    <row r="11" spans="1:18">
      <c r="A11" s="44">
        <v>45448</v>
      </c>
      <c r="B11" s="45" t="s">
        <v>196</v>
      </c>
      <c r="C11" s="45" t="s">
        <v>197</v>
      </c>
      <c r="D11" s="45" t="s">
        <v>15</v>
      </c>
      <c r="E11" s="45">
        <v>10</v>
      </c>
      <c r="F11" s="46">
        <v>1850000</v>
      </c>
      <c r="G11" s="47">
        <v>3</v>
      </c>
      <c r="H11" s="47">
        <v>7</v>
      </c>
      <c r="I11" s="48">
        <v>12950000</v>
      </c>
      <c r="L11" s="50" t="s">
        <v>222</v>
      </c>
      <c r="M11" s="51" t="s">
        <v>204</v>
      </c>
      <c r="N11" s="51" t="s">
        <v>11</v>
      </c>
      <c r="O11" s="45">
        <v>1</v>
      </c>
      <c r="P11" s="47">
        <v>1</v>
      </c>
      <c r="Q11" s="69">
        <v>2125000</v>
      </c>
    </row>
    <row r="12" spans="1:18">
      <c r="A12" s="44">
        <v>45449</v>
      </c>
      <c r="B12" s="45" t="s">
        <v>198</v>
      </c>
      <c r="C12" s="45" t="s">
        <v>197</v>
      </c>
      <c r="D12" s="45" t="s">
        <v>15</v>
      </c>
      <c r="E12" s="45">
        <v>5</v>
      </c>
      <c r="F12" s="48">
        <v>1200000</v>
      </c>
      <c r="H12" s="47">
        <v>5</v>
      </c>
      <c r="I12" s="48">
        <v>6000000</v>
      </c>
      <c r="L12" s="50" t="s">
        <v>223</v>
      </c>
      <c r="M12" s="51" t="s">
        <v>204</v>
      </c>
      <c r="N12" s="51" t="s">
        <v>11</v>
      </c>
      <c r="O12" s="45">
        <v>1</v>
      </c>
      <c r="P12" s="47">
        <v>1</v>
      </c>
      <c r="Q12" s="69">
        <v>2125000</v>
      </c>
    </row>
    <row r="13" spans="1:18">
      <c r="A13" s="44">
        <v>45450</v>
      </c>
      <c r="B13" s="45" t="s">
        <v>199</v>
      </c>
      <c r="C13" s="45" t="s">
        <v>197</v>
      </c>
      <c r="D13" s="45" t="s">
        <v>15</v>
      </c>
      <c r="E13" s="45">
        <v>5</v>
      </c>
      <c r="F13" s="48">
        <v>1820000</v>
      </c>
      <c r="H13" s="47">
        <v>5</v>
      </c>
      <c r="I13" s="48">
        <v>9100000</v>
      </c>
      <c r="L13" s="50" t="s">
        <v>224</v>
      </c>
      <c r="M13" s="51" t="s">
        <v>190</v>
      </c>
      <c r="N13" s="51" t="s">
        <v>142</v>
      </c>
      <c r="O13" s="45">
        <v>1</v>
      </c>
      <c r="P13" s="47">
        <v>1</v>
      </c>
      <c r="Q13" s="69">
        <v>7500000</v>
      </c>
    </row>
    <row r="14" spans="1:18">
      <c r="A14" s="44">
        <v>45449</v>
      </c>
      <c r="B14" s="45" t="s">
        <v>200</v>
      </c>
      <c r="C14" s="45" t="s">
        <v>201</v>
      </c>
      <c r="D14" s="45" t="s">
        <v>36</v>
      </c>
      <c r="E14" s="45">
        <v>10</v>
      </c>
      <c r="F14" s="46">
        <v>1125000</v>
      </c>
      <c r="H14" s="47">
        <v>10</v>
      </c>
      <c r="I14" s="48">
        <v>11250000</v>
      </c>
      <c r="L14" s="50" t="s">
        <v>225</v>
      </c>
      <c r="M14" s="51" t="s">
        <v>204</v>
      </c>
      <c r="N14" s="51" t="s">
        <v>11</v>
      </c>
      <c r="O14" s="45">
        <v>1</v>
      </c>
      <c r="P14" s="47">
        <v>1</v>
      </c>
      <c r="Q14" s="69">
        <v>2125000</v>
      </c>
    </row>
    <row r="15" spans="1:18">
      <c r="A15" s="44">
        <v>45459</v>
      </c>
      <c r="B15" s="45" t="s">
        <v>212</v>
      </c>
      <c r="C15" s="45" t="s">
        <v>213</v>
      </c>
      <c r="D15" s="45" t="s">
        <v>105</v>
      </c>
      <c r="E15" s="45">
        <v>30</v>
      </c>
      <c r="F15" s="48">
        <v>321000</v>
      </c>
      <c r="G15" s="47">
        <v>12</v>
      </c>
      <c r="H15" s="47">
        <v>18</v>
      </c>
      <c r="I15" s="48">
        <v>5778000</v>
      </c>
      <c r="L15" s="50" t="s">
        <v>226</v>
      </c>
      <c r="M15" s="51" t="s">
        <v>204</v>
      </c>
      <c r="N15" s="51" t="s">
        <v>11</v>
      </c>
      <c r="O15" s="45">
        <v>9</v>
      </c>
      <c r="P15" s="47">
        <v>9</v>
      </c>
      <c r="Q15" s="69">
        <v>2125000</v>
      </c>
    </row>
    <row r="16" spans="1:18">
      <c r="A16" s="44">
        <v>45459</v>
      </c>
      <c r="B16" s="45" t="s">
        <v>206</v>
      </c>
      <c r="C16" s="45" t="s">
        <v>207</v>
      </c>
      <c r="D16" s="45" t="s">
        <v>158</v>
      </c>
      <c r="E16" s="45">
        <v>5</v>
      </c>
      <c r="F16" s="48">
        <v>8000000</v>
      </c>
      <c r="H16" s="47">
        <v>5</v>
      </c>
      <c r="I16" s="48">
        <v>40000000</v>
      </c>
      <c r="L16" s="50" t="s">
        <v>227</v>
      </c>
      <c r="M16" s="51" t="s">
        <v>190</v>
      </c>
      <c r="N16" s="51" t="s">
        <v>142</v>
      </c>
      <c r="O16" s="45">
        <v>1</v>
      </c>
      <c r="P16" s="47">
        <v>1</v>
      </c>
      <c r="Q16" s="69">
        <v>7500000</v>
      </c>
    </row>
    <row r="17" spans="1:20">
      <c r="A17" s="44">
        <v>45451</v>
      </c>
      <c r="B17" s="45" t="s">
        <v>186</v>
      </c>
      <c r="C17" s="45" t="s">
        <v>187</v>
      </c>
      <c r="D17" s="45" t="s">
        <v>28</v>
      </c>
      <c r="E17" s="45">
        <v>2</v>
      </c>
      <c r="F17" s="48">
        <v>23900000</v>
      </c>
      <c r="G17" s="47">
        <v>2</v>
      </c>
      <c r="H17" s="47">
        <v>0</v>
      </c>
      <c r="I17" s="48">
        <v>0</v>
      </c>
      <c r="L17" s="50" t="s">
        <v>228</v>
      </c>
      <c r="M17" s="51" t="s">
        <v>192</v>
      </c>
      <c r="N17" s="51" t="s">
        <v>13</v>
      </c>
      <c r="O17" s="45">
        <v>2</v>
      </c>
      <c r="P17" s="47">
        <v>2</v>
      </c>
      <c r="Q17" s="69">
        <v>86000000</v>
      </c>
      <c r="S17" s="6"/>
      <c r="T17" s="6"/>
    </row>
    <row r="18" spans="1:20">
      <c r="B18" s="45" t="s">
        <v>205</v>
      </c>
      <c r="C18" s="45" t="s">
        <v>205</v>
      </c>
      <c r="E18" s="45"/>
      <c r="L18" s="50" t="s">
        <v>229</v>
      </c>
      <c r="M18" s="51" t="s">
        <v>213</v>
      </c>
      <c r="N18" s="51" t="s">
        <v>105</v>
      </c>
      <c r="O18" s="45">
        <v>10</v>
      </c>
      <c r="P18" s="47">
        <v>10</v>
      </c>
      <c r="Q18" s="69">
        <v>321000</v>
      </c>
      <c r="S18" s="6"/>
      <c r="T18" s="6"/>
    </row>
    <row r="19" spans="1:20">
      <c r="B19" s="45" t="s">
        <v>205</v>
      </c>
      <c r="C19" s="45" t="s">
        <v>205</v>
      </c>
      <c r="E19" s="45"/>
      <c r="L19" s="50" t="s">
        <v>230</v>
      </c>
      <c r="M19" s="51" t="s">
        <v>213</v>
      </c>
      <c r="N19" s="51" t="s">
        <v>105</v>
      </c>
      <c r="O19" s="45">
        <v>2</v>
      </c>
      <c r="P19" s="47">
        <v>2</v>
      </c>
      <c r="Q19" s="69">
        <v>321000</v>
      </c>
      <c r="S19" s="6"/>
      <c r="T19" s="6"/>
    </row>
    <row r="20" spans="1:20">
      <c r="B20" s="45" t="s">
        <v>205</v>
      </c>
      <c r="C20" s="45" t="s">
        <v>205</v>
      </c>
      <c r="E20" s="45"/>
      <c r="L20" s="50" t="s">
        <v>264</v>
      </c>
      <c r="M20" s="51" t="s">
        <v>265</v>
      </c>
      <c r="N20" s="51" t="s">
        <v>154</v>
      </c>
      <c r="O20" s="45">
        <v>1</v>
      </c>
      <c r="P20" s="47">
        <v>0</v>
      </c>
      <c r="Q20" s="69">
        <v>0</v>
      </c>
      <c r="R20" s="51" t="s">
        <v>266</v>
      </c>
    </row>
    <row r="21" spans="1:20">
      <c r="B21" s="45" t="s">
        <v>205</v>
      </c>
      <c r="C21" s="45" t="s">
        <v>205</v>
      </c>
      <c r="E21" s="45"/>
      <c r="L21" s="50" t="s">
        <v>277</v>
      </c>
      <c r="M21" s="51" t="s">
        <v>279</v>
      </c>
      <c r="N21" s="51" t="s">
        <v>33</v>
      </c>
      <c r="O21" s="45">
        <v>1</v>
      </c>
      <c r="P21" s="47">
        <v>0</v>
      </c>
      <c r="Q21" s="69">
        <v>0</v>
      </c>
      <c r="R21" s="51" t="s">
        <v>266</v>
      </c>
    </row>
    <row r="22" spans="1:20">
      <c r="B22" s="45" t="s">
        <v>205</v>
      </c>
      <c r="C22" s="45" t="s">
        <v>205</v>
      </c>
      <c r="E22" s="45"/>
      <c r="F22" s="46"/>
      <c r="L22" s="50" t="s">
        <v>278</v>
      </c>
      <c r="M22" s="51" t="s">
        <v>192</v>
      </c>
      <c r="N22" s="51" t="s">
        <v>13</v>
      </c>
      <c r="O22" s="45">
        <v>2</v>
      </c>
      <c r="P22" s="47">
        <v>2</v>
      </c>
      <c r="Q22" s="69">
        <v>43000000</v>
      </c>
    </row>
    <row r="23" spans="1:20">
      <c r="B23" s="45" t="s">
        <v>205</v>
      </c>
      <c r="C23" s="45" t="s">
        <v>205</v>
      </c>
      <c r="E23" s="45"/>
      <c r="F23" s="46"/>
      <c r="L23" s="50" t="s">
        <v>280</v>
      </c>
      <c r="M23" s="51" t="s">
        <v>187</v>
      </c>
      <c r="N23" s="51" t="s">
        <v>28</v>
      </c>
      <c r="O23" s="45">
        <v>1</v>
      </c>
      <c r="P23" s="47">
        <v>1</v>
      </c>
      <c r="Q23" s="69">
        <v>23900000</v>
      </c>
    </row>
    <row r="24" spans="1:20">
      <c r="B24" s="45" t="s">
        <v>205</v>
      </c>
      <c r="C24" s="45" t="s">
        <v>205</v>
      </c>
      <c r="E24" s="45"/>
      <c r="F24" s="46"/>
      <c r="L24" s="50" t="s">
        <v>281</v>
      </c>
      <c r="M24" s="51" t="s">
        <v>282</v>
      </c>
      <c r="N24" s="51" t="s">
        <v>29</v>
      </c>
      <c r="O24" s="45">
        <v>2</v>
      </c>
      <c r="P24" s="47">
        <v>0</v>
      </c>
      <c r="Q24" s="69">
        <v>0</v>
      </c>
      <c r="R24" s="51" t="s">
        <v>266</v>
      </c>
    </row>
    <row r="25" spans="1:20">
      <c r="B25" s="45" t="s">
        <v>205</v>
      </c>
      <c r="C25" s="45" t="s">
        <v>205</v>
      </c>
      <c r="E25" s="45"/>
      <c r="F25" s="46"/>
      <c r="L25" s="50" t="s">
        <v>283</v>
      </c>
      <c r="M25" s="51" t="s">
        <v>185</v>
      </c>
      <c r="N25" s="51" t="s">
        <v>32</v>
      </c>
      <c r="O25" s="45">
        <v>1</v>
      </c>
      <c r="P25" s="47">
        <v>0</v>
      </c>
      <c r="Q25" s="69">
        <v>0</v>
      </c>
      <c r="R25" s="51" t="s">
        <v>266</v>
      </c>
    </row>
    <row r="26" spans="1:20">
      <c r="B26" s="45" t="s">
        <v>205</v>
      </c>
      <c r="C26" s="45" t="s">
        <v>205</v>
      </c>
      <c r="E26" s="45"/>
      <c r="F26" s="46"/>
      <c r="L26" s="50" t="s">
        <v>284</v>
      </c>
      <c r="M26" s="51" t="s">
        <v>204</v>
      </c>
      <c r="N26" s="51" t="s">
        <v>11</v>
      </c>
      <c r="O26" s="45">
        <v>1</v>
      </c>
      <c r="P26" s="47">
        <v>0</v>
      </c>
      <c r="Q26" s="69">
        <v>0</v>
      </c>
      <c r="R26" s="51" t="s">
        <v>266</v>
      </c>
    </row>
    <row r="27" spans="1:20">
      <c r="B27" s="45" t="s">
        <v>205</v>
      </c>
      <c r="C27" s="45" t="s">
        <v>205</v>
      </c>
      <c r="E27" s="45"/>
      <c r="F27" s="46"/>
      <c r="L27" s="50" t="s">
        <v>285</v>
      </c>
      <c r="M27" s="51" t="s">
        <v>187</v>
      </c>
      <c r="N27" s="51" t="s">
        <v>28</v>
      </c>
      <c r="O27" s="45">
        <v>1</v>
      </c>
      <c r="P27" s="47">
        <v>0</v>
      </c>
      <c r="Q27" s="69">
        <v>0</v>
      </c>
      <c r="R27" s="51" t="s">
        <v>266</v>
      </c>
    </row>
    <row r="28" spans="1:20">
      <c r="B28" s="45" t="s">
        <v>205</v>
      </c>
      <c r="C28" s="45" t="s">
        <v>205</v>
      </c>
      <c r="E28" s="45"/>
      <c r="F28" s="46"/>
      <c r="L28" s="50" t="s">
        <v>286</v>
      </c>
      <c r="M28" s="51" t="s">
        <v>197</v>
      </c>
      <c r="N28" s="51" t="s">
        <v>15</v>
      </c>
      <c r="O28" s="45">
        <v>2</v>
      </c>
      <c r="P28" s="47">
        <v>2</v>
      </c>
      <c r="Q28" s="69">
        <v>1850000</v>
      </c>
    </row>
    <row r="29" spans="1:20">
      <c r="B29" s="45" t="s">
        <v>205</v>
      </c>
      <c r="C29" s="45" t="s">
        <v>205</v>
      </c>
      <c r="E29" s="45"/>
      <c r="F29" s="46"/>
      <c r="L29" s="50" t="s">
        <v>288</v>
      </c>
      <c r="M29" s="51" t="s">
        <v>287</v>
      </c>
      <c r="N29" s="51" t="s">
        <v>30</v>
      </c>
      <c r="O29" s="45">
        <v>1</v>
      </c>
      <c r="P29" s="47">
        <v>0</v>
      </c>
      <c r="Q29" s="69">
        <v>0</v>
      </c>
      <c r="R29" s="51" t="s">
        <v>266</v>
      </c>
    </row>
    <row r="30" spans="1:20">
      <c r="B30" s="45" t="s">
        <v>205</v>
      </c>
      <c r="C30" s="45" t="s">
        <v>205</v>
      </c>
      <c r="E30" s="45"/>
      <c r="F30" s="46"/>
      <c r="L30" s="50" t="s">
        <v>289</v>
      </c>
      <c r="M30" s="51" t="s">
        <v>290</v>
      </c>
      <c r="N30" s="51" t="s">
        <v>31</v>
      </c>
      <c r="O30" s="45">
        <v>1</v>
      </c>
      <c r="P30" s="47">
        <v>0</v>
      </c>
      <c r="Q30" s="69">
        <v>0</v>
      </c>
      <c r="R30" s="51" t="s">
        <v>266</v>
      </c>
    </row>
    <row r="31" spans="1:20">
      <c r="B31" s="45" t="s">
        <v>205</v>
      </c>
      <c r="C31" s="45" t="s">
        <v>205</v>
      </c>
      <c r="E31" s="45"/>
      <c r="F31" s="46"/>
      <c r="O31" s="45"/>
    </row>
    <row r="32" spans="1:20">
      <c r="B32" s="45" t="s">
        <v>205</v>
      </c>
      <c r="C32" s="45" t="s">
        <v>205</v>
      </c>
      <c r="E32" s="45"/>
      <c r="F32" s="46"/>
      <c r="O32" s="45"/>
    </row>
    <row r="33" spans="2:15">
      <c r="B33" s="45" t="s">
        <v>205</v>
      </c>
      <c r="C33" s="45" t="s">
        <v>205</v>
      </c>
      <c r="E33" s="45"/>
      <c r="F33" s="46"/>
      <c r="O33" s="45"/>
    </row>
    <row r="34" spans="2:15">
      <c r="B34" s="45" t="s">
        <v>205</v>
      </c>
      <c r="C34" s="45" t="s">
        <v>205</v>
      </c>
      <c r="E34" s="45"/>
      <c r="F34" s="46"/>
      <c r="O34" s="45"/>
    </row>
    <row r="35" spans="2:15">
      <c r="B35" s="45" t="s">
        <v>205</v>
      </c>
      <c r="E35" s="45"/>
      <c r="O35" s="45"/>
    </row>
    <row r="36" spans="2:15">
      <c r="B36" s="45" t="s">
        <v>205</v>
      </c>
      <c r="E36" s="45"/>
      <c r="O36" s="45"/>
    </row>
    <row r="37" spans="2:15">
      <c r="B37" s="45" t="s">
        <v>205</v>
      </c>
      <c r="E37" s="45"/>
      <c r="O37" s="45"/>
    </row>
    <row r="38" spans="2:15">
      <c r="B38" s="45" t="s">
        <v>205</v>
      </c>
      <c r="E38" s="45"/>
      <c r="O38" s="45"/>
    </row>
    <row r="39" spans="2:15">
      <c r="B39" s="45" t="s">
        <v>205</v>
      </c>
      <c r="E39" s="45"/>
      <c r="O39" s="45"/>
    </row>
    <row r="40" spans="2:15">
      <c r="B40" s="45" t="s">
        <v>205</v>
      </c>
      <c r="E40" s="45"/>
      <c r="O40" s="45"/>
    </row>
    <row r="41" spans="2:15">
      <c r="B41" s="45" t="s">
        <v>205</v>
      </c>
      <c r="E41" s="45"/>
      <c r="O41" s="45"/>
    </row>
    <row r="42" spans="2:15">
      <c r="B42" s="45" t="s">
        <v>205</v>
      </c>
      <c r="E42" s="45"/>
      <c r="O42" s="45"/>
    </row>
    <row r="43" spans="2:15">
      <c r="B43" s="45" t="s">
        <v>205</v>
      </c>
      <c r="E43" s="45"/>
      <c r="O43" s="45"/>
    </row>
    <row r="44" spans="2:15">
      <c r="B44" s="45" t="s">
        <v>205</v>
      </c>
      <c r="E44" s="45"/>
      <c r="O44" s="45"/>
    </row>
    <row r="45" spans="2:15">
      <c r="B45" s="45" t="s">
        <v>205</v>
      </c>
      <c r="E45" s="45"/>
      <c r="O45" s="45"/>
    </row>
    <row r="46" spans="2:15">
      <c r="B46" s="45" t="s">
        <v>205</v>
      </c>
      <c r="E46" s="45"/>
      <c r="O46" s="45"/>
    </row>
    <row r="47" spans="2:15">
      <c r="B47" s="45" t="s">
        <v>205</v>
      </c>
      <c r="E47" s="45"/>
      <c r="O47" s="45"/>
    </row>
    <row r="48" spans="2:15">
      <c r="B48" s="45" t="s">
        <v>205</v>
      </c>
      <c r="E48" s="45"/>
      <c r="O48" s="45"/>
    </row>
    <row r="49" spans="2:15">
      <c r="B49" s="45" t="s">
        <v>205</v>
      </c>
      <c r="E49" s="45"/>
      <c r="O49" s="45"/>
    </row>
    <row r="50" spans="2:15">
      <c r="B50" s="45" t="s">
        <v>205</v>
      </c>
      <c r="E50" s="45"/>
      <c r="O50" s="45"/>
    </row>
    <row r="51" spans="2:15">
      <c r="B51" s="45" t="s">
        <v>205</v>
      </c>
      <c r="E51" s="45"/>
      <c r="O51" s="45"/>
    </row>
    <row r="52" spans="2:15">
      <c r="B52" s="45" t="s">
        <v>205</v>
      </c>
      <c r="E52" s="45"/>
      <c r="O52" s="45"/>
    </row>
    <row r="53" spans="2:15">
      <c r="B53" s="45" t="s">
        <v>205</v>
      </c>
      <c r="E53" s="45"/>
      <c r="O53" s="45"/>
    </row>
    <row r="54" spans="2:15">
      <c r="B54" s="45" t="s">
        <v>205</v>
      </c>
      <c r="E54" s="45"/>
      <c r="O54" s="45"/>
    </row>
    <row r="55" spans="2:15">
      <c r="B55" s="45" t="s">
        <v>205</v>
      </c>
      <c r="E55" s="45"/>
      <c r="O55" s="45"/>
    </row>
    <row r="56" spans="2:15">
      <c r="B56" s="45" t="s">
        <v>205</v>
      </c>
      <c r="E56" s="45"/>
      <c r="O56" s="45"/>
    </row>
    <row r="57" spans="2:15">
      <c r="B57" s="45" t="s">
        <v>205</v>
      </c>
      <c r="E57" s="45"/>
      <c r="O57" s="45"/>
    </row>
    <row r="58" spans="2:15">
      <c r="B58" s="45" t="s">
        <v>205</v>
      </c>
      <c r="E58" s="45"/>
      <c r="O58" s="45"/>
    </row>
    <row r="59" spans="2:15">
      <c r="B59" s="45" t="s">
        <v>205</v>
      </c>
      <c r="E59" s="45"/>
      <c r="O59" s="45"/>
    </row>
    <row r="60" spans="2:15">
      <c r="B60" s="45" t="s">
        <v>205</v>
      </c>
      <c r="E60" s="45"/>
      <c r="O60" s="45"/>
    </row>
    <row r="61" spans="2:15">
      <c r="B61" s="45" t="s">
        <v>205</v>
      </c>
      <c r="E61" s="45"/>
      <c r="O61" s="45"/>
    </row>
    <row r="62" spans="2:15">
      <c r="B62" s="45" t="s">
        <v>205</v>
      </c>
      <c r="E62" s="45"/>
      <c r="O62" s="45"/>
    </row>
    <row r="63" spans="2:15">
      <c r="B63" s="45" t="s">
        <v>205</v>
      </c>
      <c r="E63" s="45"/>
      <c r="O63" s="45"/>
    </row>
    <row r="64" spans="2:15">
      <c r="B64" s="45" t="s">
        <v>205</v>
      </c>
      <c r="E64" s="45"/>
      <c r="O64" s="45"/>
    </row>
    <row r="65" spans="2:15">
      <c r="B65" s="45" t="s">
        <v>205</v>
      </c>
      <c r="E65" s="45"/>
      <c r="O65" s="45"/>
    </row>
    <row r="66" spans="2:15">
      <c r="B66" s="45" t="s">
        <v>205</v>
      </c>
      <c r="E66" s="45"/>
      <c r="O66" s="45"/>
    </row>
    <row r="67" spans="2:15">
      <c r="B67" s="45" t="s">
        <v>205</v>
      </c>
      <c r="E67" s="45"/>
      <c r="O67" s="45"/>
    </row>
    <row r="68" spans="2:15">
      <c r="B68" s="45" t="s">
        <v>205</v>
      </c>
      <c r="E68" s="45"/>
      <c r="O68" s="45"/>
    </row>
    <row r="69" spans="2:15">
      <c r="B69" s="45" t="s">
        <v>205</v>
      </c>
      <c r="E69" s="45"/>
      <c r="O69" s="45"/>
    </row>
    <row r="70" spans="2:15">
      <c r="B70" s="45" t="s">
        <v>205</v>
      </c>
      <c r="E70" s="45"/>
      <c r="O70" s="45"/>
    </row>
    <row r="71" spans="2:15">
      <c r="B71" s="45" t="s">
        <v>205</v>
      </c>
      <c r="E71" s="45"/>
      <c r="O71" s="45"/>
    </row>
    <row r="72" spans="2:15">
      <c r="B72" s="45" t="s">
        <v>205</v>
      </c>
      <c r="E72" s="45"/>
      <c r="O72" s="45"/>
    </row>
    <row r="73" spans="2:15">
      <c r="B73" s="45" t="s">
        <v>205</v>
      </c>
      <c r="E73" s="45"/>
      <c r="O73" s="45"/>
    </row>
    <row r="74" spans="2:15">
      <c r="B74" s="45" t="s">
        <v>205</v>
      </c>
      <c r="E74" s="45"/>
      <c r="O74" s="45"/>
    </row>
    <row r="75" spans="2:15">
      <c r="B75" s="45" t="s">
        <v>205</v>
      </c>
      <c r="E75" s="45"/>
      <c r="O75" s="45"/>
    </row>
    <row r="76" spans="2:15">
      <c r="B76" s="45" t="s">
        <v>205</v>
      </c>
      <c r="E76" s="45"/>
      <c r="O76" s="45"/>
    </row>
    <row r="77" spans="2:15">
      <c r="B77" s="45" t="s">
        <v>205</v>
      </c>
      <c r="E77" s="45"/>
      <c r="O77" s="45"/>
    </row>
    <row r="78" spans="2:15">
      <c r="B78" s="45" t="s">
        <v>205</v>
      </c>
      <c r="E78" s="45"/>
      <c r="O78" s="45"/>
    </row>
    <row r="79" spans="2:15">
      <c r="B79" s="45" t="s">
        <v>205</v>
      </c>
      <c r="E79" s="45"/>
      <c r="O79" s="45"/>
    </row>
    <row r="80" spans="2:15">
      <c r="B80" s="45" t="s">
        <v>205</v>
      </c>
      <c r="E80" s="45"/>
      <c r="O80" s="45"/>
    </row>
    <row r="81" spans="2:15">
      <c r="B81" s="45" t="s">
        <v>205</v>
      </c>
      <c r="E81" s="45"/>
      <c r="O81" s="45"/>
    </row>
    <row r="82" spans="2:15">
      <c r="B82" s="45" t="s">
        <v>205</v>
      </c>
      <c r="E82" s="45"/>
      <c r="O82" s="45"/>
    </row>
    <row r="83" spans="2:15">
      <c r="B83" s="45" t="s">
        <v>205</v>
      </c>
      <c r="E83" s="45"/>
      <c r="O83" s="45"/>
    </row>
    <row r="84" spans="2:15">
      <c r="B84" s="45" t="s">
        <v>205</v>
      </c>
      <c r="E84" s="45"/>
      <c r="O84" s="45"/>
    </row>
    <row r="85" spans="2:15">
      <c r="B85" s="45" t="s">
        <v>205</v>
      </c>
      <c r="E85" s="45"/>
      <c r="O85" s="45"/>
    </row>
    <row r="86" spans="2:15">
      <c r="B86" s="45" t="s">
        <v>205</v>
      </c>
      <c r="E86" s="45"/>
      <c r="O86" s="45"/>
    </row>
    <row r="87" spans="2:15">
      <c r="B87" s="45" t="s">
        <v>205</v>
      </c>
      <c r="E87" s="45"/>
      <c r="O87" s="45"/>
    </row>
    <row r="88" spans="2:15">
      <c r="B88" s="45" t="s">
        <v>205</v>
      </c>
      <c r="E88" s="45"/>
      <c r="O88" s="45"/>
    </row>
    <row r="89" spans="2:15">
      <c r="B89" s="45" t="s">
        <v>205</v>
      </c>
      <c r="E89" s="45"/>
      <c r="O89" s="45"/>
    </row>
    <row r="90" spans="2:15">
      <c r="B90" s="45" t="s">
        <v>205</v>
      </c>
      <c r="E90" s="45"/>
      <c r="O90" s="45"/>
    </row>
    <row r="91" spans="2:15">
      <c r="B91" s="45" t="s">
        <v>205</v>
      </c>
      <c r="E91" s="45"/>
      <c r="O91" s="45"/>
    </row>
    <row r="92" spans="2:15">
      <c r="B92" s="45" t="s">
        <v>205</v>
      </c>
      <c r="E92" s="45"/>
      <c r="O92" s="45"/>
    </row>
    <row r="93" spans="2:15">
      <c r="B93" s="45" t="s">
        <v>205</v>
      </c>
      <c r="E93" s="45"/>
      <c r="O93" s="45"/>
    </row>
    <row r="94" spans="2:15">
      <c r="B94" s="45" t="s">
        <v>205</v>
      </c>
      <c r="E94" s="45"/>
      <c r="O94" s="45"/>
    </row>
    <row r="95" spans="2:15">
      <c r="B95" s="45" t="s">
        <v>205</v>
      </c>
      <c r="E95" s="45"/>
      <c r="O95" s="45"/>
    </row>
    <row r="96" spans="2:15">
      <c r="B96" s="45" t="s">
        <v>205</v>
      </c>
      <c r="E96" s="45"/>
      <c r="O96" s="45"/>
    </row>
    <row r="97" spans="15:15">
      <c r="O97" s="45"/>
    </row>
  </sheetData>
  <sortState xmlns:xlrd2="http://schemas.microsoft.com/office/spreadsheetml/2017/richdata2" ref="A2:I17">
    <sortCondition ref="C1"/>
    <sortCondition ref="A1"/>
  </sortState>
  <phoneticPr fontId="1" type="noConversion"/>
  <conditionalFormatting sqref="A1:I1048576">
    <cfRule type="expression" dxfId="2" priority="2">
      <formula>MOD(ROW(),2)=0</formula>
    </cfRule>
  </conditionalFormatting>
  <conditionalFormatting sqref="L1:R1048576">
    <cfRule type="expression" dxfId="1" priority="1">
      <formula>MOD(ROW(),2)=0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11" activePane="bottomLeft" state="frozen"/>
      <selection pane="bottomLeft" activeCell="G23" sqref="G23"/>
    </sheetView>
  </sheetViews>
  <sheetFormatPr defaultRowHeight="14.4"/>
  <cols>
    <col min="1" max="1" width="11.44140625" style="52" bestFit="1" customWidth="1"/>
    <col min="2" max="2" width="26.21875" style="51" bestFit="1" customWidth="1"/>
    <col min="3" max="3" width="11.44140625" style="51" customWidth="1"/>
    <col min="4" max="4" width="25.77734375" style="51" bestFit="1" customWidth="1"/>
    <col min="5" max="5" width="8.88671875" style="45"/>
    <col min="6" max="6" width="17.5546875" style="48" bestFit="1" customWidth="1"/>
    <col min="7" max="7" width="18.109375" style="48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3" customFormat="1">
      <c r="A1" s="54" t="s">
        <v>177</v>
      </c>
      <c r="B1" s="55" t="s">
        <v>184</v>
      </c>
      <c r="C1" s="55" t="s">
        <v>0</v>
      </c>
      <c r="D1" s="55" t="s">
        <v>175</v>
      </c>
      <c r="E1" s="57" t="s">
        <v>178</v>
      </c>
      <c r="F1" s="56" t="s">
        <v>179</v>
      </c>
      <c r="G1" s="56" t="s">
        <v>169</v>
      </c>
    </row>
    <row r="2" spans="1:15">
      <c r="A2" s="52" t="s">
        <v>215</v>
      </c>
      <c r="B2" s="53" t="s">
        <v>202</v>
      </c>
      <c r="C2" s="51" t="s">
        <v>204</v>
      </c>
      <c r="D2" s="51" t="s">
        <v>11</v>
      </c>
      <c r="E2" s="45">
        <v>10</v>
      </c>
      <c r="F2" s="48">
        <v>2234000</v>
      </c>
      <c r="G2" s="48">
        <f t="shared" ref="G2:G24" si="0">F2*E2</f>
        <v>22340000</v>
      </c>
      <c r="I2" s="6"/>
      <c r="L2" s="7"/>
      <c r="O2" s="6"/>
    </row>
    <row r="3" spans="1:15">
      <c r="A3" s="52" t="s">
        <v>215</v>
      </c>
      <c r="B3" s="53" t="s">
        <v>203</v>
      </c>
      <c r="C3" s="51" t="s">
        <v>204</v>
      </c>
      <c r="D3" s="51" t="s">
        <v>11</v>
      </c>
      <c r="E3" s="45">
        <v>1</v>
      </c>
      <c r="F3" s="48">
        <v>2125000</v>
      </c>
      <c r="G3" s="48">
        <f t="shared" si="0"/>
        <v>2125000</v>
      </c>
      <c r="I3" s="6"/>
      <c r="L3" s="7"/>
      <c r="O3" s="6"/>
    </row>
    <row r="4" spans="1:15">
      <c r="A4" s="52" t="s">
        <v>216</v>
      </c>
      <c r="B4" s="51" t="s">
        <v>186</v>
      </c>
      <c r="C4" s="51" t="s">
        <v>187</v>
      </c>
      <c r="D4" s="51" t="s">
        <v>28</v>
      </c>
      <c r="E4" s="45">
        <v>1</v>
      </c>
      <c r="F4" s="48">
        <v>23900000</v>
      </c>
      <c r="G4" s="48">
        <f t="shared" si="0"/>
        <v>23900000</v>
      </c>
      <c r="I4" s="6"/>
      <c r="L4" s="7"/>
      <c r="O4" s="6"/>
    </row>
    <row r="5" spans="1:15">
      <c r="A5" s="52" t="s">
        <v>217</v>
      </c>
      <c r="B5" s="51" t="s">
        <v>196</v>
      </c>
      <c r="C5" s="51" t="s">
        <v>197</v>
      </c>
      <c r="D5" s="51" t="s">
        <v>15</v>
      </c>
      <c r="E5" s="45">
        <v>1</v>
      </c>
      <c r="F5" s="48">
        <v>1850000</v>
      </c>
      <c r="G5" s="48">
        <f t="shared" si="0"/>
        <v>1850000</v>
      </c>
      <c r="I5" s="6"/>
      <c r="L5" s="7"/>
      <c r="O5" s="6"/>
    </row>
    <row r="6" spans="1:15">
      <c r="A6" s="52" t="s">
        <v>208</v>
      </c>
      <c r="B6" s="53" t="s">
        <v>188</v>
      </c>
      <c r="C6" s="51" t="s">
        <v>185</v>
      </c>
      <c r="D6" s="51" t="s">
        <v>32</v>
      </c>
      <c r="E6" s="45">
        <v>2</v>
      </c>
      <c r="F6" s="48">
        <v>24252000</v>
      </c>
      <c r="G6" s="48">
        <f t="shared" si="0"/>
        <v>48504000</v>
      </c>
      <c r="I6" s="6"/>
      <c r="L6" s="7"/>
      <c r="O6" s="6"/>
    </row>
    <row r="7" spans="1:15">
      <c r="A7" s="52" t="s">
        <v>211</v>
      </c>
      <c r="B7" s="53" t="s">
        <v>203</v>
      </c>
      <c r="C7" s="51" t="s">
        <v>204</v>
      </c>
      <c r="D7" s="51" t="s">
        <v>11</v>
      </c>
      <c r="E7" s="45">
        <v>1</v>
      </c>
      <c r="F7" s="48">
        <v>2125000</v>
      </c>
      <c r="G7" s="48">
        <f t="shared" si="0"/>
        <v>2125000</v>
      </c>
      <c r="I7" s="6"/>
      <c r="L7" s="7"/>
      <c r="O7" s="6"/>
    </row>
    <row r="8" spans="1:15">
      <c r="A8" s="52" t="s">
        <v>219</v>
      </c>
      <c r="B8" s="53" t="s">
        <v>191</v>
      </c>
      <c r="C8" s="51" t="s">
        <v>192</v>
      </c>
      <c r="D8" s="51" t="s">
        <v>13</v>
      </c>
      <c r="E8" s="45">
        <v>1</v>
      </c>
      <c r="F8" s="48">
        <v>43200000</v>
      </c>
      <c r="G8" s="48">
        <f t="shared" si="0"/>
        <v>43200000</v>
      </c>
      <c r="I8" s="6"/>
      <c r="L8" s="7"/>
      <c r="O8" s="6"/>
    </row>
    <row r="9" spans="1:15">
      <c r="A9" s="52" t="s">
        <v>214</v>
      </c>
      <c r="B9" s="51" t="s">
        <v>203</v>
      </c>
      <c r="C9" s="51" t="s">
        <v>204</v>
      </c>
      <c r="D9" s="51" t="s">
        <v>11</v>
      </c>
      <c r="E9" s="45">
        <v>1</v>
      </c>
      <c r="F9" s="48">
        <v>2125000</v>
      </c>
      <c r="G9" s="48">
        <f t="shared" si="0"/>
        <v>2125000</v>
      </c>
      <c r="I9" s="6"/>
      <c r="L9" s="7"/>
      <c r="O9" s="6"/>
    </row>
    <row r="10" spans="1:15">
      <c r="A10" s="52" t="s">
        <v>218</v>
      </c>
      <c r="B10" s="51" t="s">
        <v>191</v>
      </c>
      <c r="C10" s="51" t="s">
        <v>192</v>
      </c>
      <c r="D10" s="51" t="s">
        <v>13</v>
      </c>
      <c r="E10" s="45">
        <v>1</v>
      </c>
      <c r="F10" s="48">
        <v>43200000</v>
      </c>
      <c r="G10" s="48">
        <f t="shared" si="0"/>
        <v>43200000</v>
      </c>
      <c r="I10" s="6"/>
      <c r="L10" s="7"/>
      <c r="O10" s="6"/>
    </row>
    <row r="11" spans="1:15">
      <c r="A11" s="52" t="s">
        <v>221</v>
      </c>
      <c r="B11" s="51" t="s">
        <v>203</v>
      </c>
      <c r="C11" s="51" t="s">
        <v>204</v>
      </c>
      <c r="D11" s="51" t="s">
        <v>11</v>
      </c>
      <c r="E11" s="45">
        <v>5</v>
      </c>
      <c r="F11" s="48">
        <v>2125000</v>
      </c>
      <c r="G11" s="48">
        <f t="shared" si="0"/>
        <v>10625000</v>
      </c>
      <c r="I11" s="6"/>
      <c r="L11" s="7"/>
      <c r="O11" s="6"/>
    </row>
    <row r="12" spans="1:15">
      <c r="A12" s="52" t="s">
        <v>222</v>
      </c>
      <c r="B12" s="51" t="s">
        <v>203</v>
      </c>
      <c r="C12" s="51" t="s">
        <v>204</v>
      </c>
      <c r="D12" s="51" t="s">
        <v>11</v>
      </c>
      <c r="E12" s="45">
        <v>1</v>
      </c>
      <c r="F12" s="48">
        <v>2125000</v>
      </c>
      <c r="G12" s="48">
        <f t="shared" si="0"/>
        <v>2125000</v>
      </c>
      <c r="I12" s="6"/>
      <c r="L12" s="7"/>
      <c r="O12" s="6"/>
    </row>
    <row r="13" spans="1:15">
      <c r="A13" s="52" t="s">
        <v>223</v>
      </c>
      <c r="B13" s="51" t="s">
        <v>203</v>
      </c>
      <c r="C13" s="51" t="s">
        <v>204</v>
      </c>
      <c r="D13" s="51" t="s">
        <v>11</v>
      </c>
      <c r="E13" s="45">
        <v>1</v>
      </c>
      <c r="F13" s="48">
        <v>2125000</v>
      </c>
      <c r="G13" s="48">
        <f t="shared" si="0"/>
        <v>2125000</v>
      </c>
      <c r="I13" s="6"/>
      <c r="L13" s="7"/>
      <c r="O13" s="6"/>
    </row>
    <row r="14" spans="1:15">
      <c r="A14" s="52" t="s">
        <v>224</v>
      </c>
      <c r="B14" s="51" t="s">
        <v>189</v>
      </c>
      <c r="C14" s="51" t="s">
        <v>190</v>
      </c>
      <c r="D14" s="51" t="s">
        <v>142</v>
      </c>
      <c r="E14" s="45">
        <v>1</v>
      </c>
      <c r="F14" s="48">
        <v>7500000</v>
      </c>
      <c r="G14" s="48">
        <f t="shared" si="0"/>
        <v>7500000</v>
      </c>
      <c r="I14" s="6"/>
      <c r="L14" s="7"/>
      <c r="O14" s="6"/>
    </row>
    <row r="15" spans="1:15">
      <c r="A15" s="52" t="s">
        <v>225</v>
      </c>
      <c r="B15" s="51" t="s">
        <v>203</v>
      </c>
      <c r="C15" s="51" t="s">
        <v>204</v>
      </c>
      <c r="D15" s="51" t="s">
        <v>11</v>
      </c>
      <c r="E15" s="45">
        <v>1</v>
      </c>
      <c r="F15" s="48">
        <v>2125000</v>
      </c>
      <c r="G15" s="48">
        <f t="shared" si="0"/>
        <v>2125000</v>
      </c>
      <c r="I15" s="6"/>
      <c r="J15" t="s">
        <v>205</v>
      </c>
      <c r="K15" t="s">
        <v>205</v>
      </c>
      <c r="L15" s="7"/>
      <c r="O15" s="6" t="s">
        <v>205</v>
      </c>
    </row>
    <row r="16" spans="1:15">
      <c r="A16" s="52" t="s">
        <v>226</v>
      </c>
      <c r="B16" s="51" t="s">
        <v>203</v>
      </c>
      <c r="C16" s="51" t="s">
        <v>204</v>
      </c>
      <c r="D16" s="51" t="s">
        <v>11</v>
      </c>
      <c r="E16" s="45">
        <v>9</v>
      </c>
      <c r="F16" s="48">
        <v>2125000</v>
      </c>
      <c r="G16" s="48">
        <f t="shared" si="0"/>
        <v>19125000</v>
      </c>
      <c r="H16" t="s">
        <v>205</v>
      </c>
      <c r="I16" s="6"/>
      <c r="J16" t="s">
        <v>205</v>
      </c>
      <c r="K16" t="s">
        <v>205</v>
      </c>
      <c r="L16" s="7"/>
      <c r="O16" s="6" t="s">
        <v>205</v>
      </c>
    </row>
    <row r="17" spans="1:15">
      <c r="A17" s="52" t="s">
        <v>227</v>
      </c>
      <c r="B17" s="51" t="s">
        <v>189</v>
      </c>
      <c r="C17" s="51" t="s">
        <v>190</v>
      </c>
      <c r="D17" s="51" t="s">
        <v>142</v>
      </c>
      <c r="E17" s="45">
        <v>1</v>
      </c>
      <c r="F17" s="48">
        <v>7500000</v>
      </c>
      <c r="G17" s="48">
        <f t="shared" si="0"/>
        <v>7500000</v>
      </c>
      <c r="H17" t="s">
        <v>205</v>
      </c>
      <c r="I17" s="6"/>
      <c r="J17" t="s">
        <v>205</v>
      </c>
      <c r="K17" t="s">
        <v>205</v>
      </c>
      <c r="L17" s="7"/>
      <c r="O17" s="6" t="s">
        <v>205</v>
      </c>
    </row>
    <row r="18" spans="1:15">
      <c r="A18" s="52" t="s">
        <v>228</v>
      </c>
      <c r="B18" s="51" t="s">
        <v>193</v>
      </c>
      <c r="C18" s="51" t="s">
        <v>192</v>
      </c>
      <c r="D18" s="51" t="s">
        <v>13</v>
      </c>
      <c r="E18" s="45">
        <v>1</v>
      </c>
      <c r="F18" s="48">
        <v>43000000</v>
      </c>
      <c r="G18" s="48">
        <f t="shared" si="0"/>
        <v>43000000</v>
      </c>
      <c r="H18" t="s">
        <v>205</v>
      </c>
      <c r="I18" s="6"/>
      <c r="J18" t="s">
        <v>205</v>
      </c>
      <c r="K18" t="s">
        <v>205</v>
      </c>
      <c r="L18" s="7"/>
      <c r="O18" s="6" t="s">
        <v>205</v>
      </c>
    </row>
    <row r="19" spans="1:15">
      <c r="A19" s="52" t="s">
        <v>228</v>
      </c>
      <c r="B19" s="51" t="s">
        <v>194</v>
      </c>
      <c r="C19" s="51" t="s">
        <v>192</v>
      </c>
      <c r="D19" s="51" t="s">
        <v>13</v>
      </c>
      <c r="E19" s="45">
        <v>1</v>
      </c>
      <c r="F19" s="48">
        <v>43000000</v>
      </c>
      <c r="G19" s="48">
        <f t="shared" si="0"/>
        <v>43000000</v>
      </c>
      <c r="H19" t="s">
        <v>205</v>
      </c>
      <c r="I19" s="6"/>
      <c r="J19" t="s">
        <v>205</v>
      </c>
      <c r="K19" t="s">
        <v>205</v>
      </c>
      <c r="L19" s="7"/>
      <c r="O19" s="6" t="s">
        <v>205</v>
      </c>
    </row>
    <row r="20" spans="1:15">
      <c r="A20" s="52" t="s">
        <v>229</v>
      </c>
      <c r="B20" s="51" t="s">
        <v>212</v>
      </c>
      <c r="C20" s="51" t="s">
        <v>213</v>
      </c>
      <c r="D20" s="51" t="s">
        <v>105</v>
      </c>
      <c r="E20" s="45">
        <v>10</v>
      </c>
      <c r="F20" s="48">
        <v>321000</v>
      </c>
      <c r="G20" s="48">
        <f t="shared" si="0"/>
        <v>3210000</v>
      </c>
      <c r="H20" t="s">
        <v>205</v>
      </c>
      <c r="I20" s="6"/>
      <c r="J20" t="s">
        <v>205</v>
      </c>
      <c r="K20" t="s">
        <v>205</v>
      </c>
      <c r="L20" s="7"/>
    </row>
    <row r="21" spans="1:15">
      <c r="A21" s="52" t="s">
        <v>230</v>
      </c>
      <c r="B21" s="51" t="s">
        <v>212</v>
      </c>
      <c r="C21" s="51" t="s">
        <v>213</v>
      </c>
      <c r="D21" s="51" t="s">
        <v>105</v>
      </c>
      <c r="E21" s="45">
        <v>2</v>
      </c>
      <c r="F21" s="48">
        <v>321000</v>
      </c>
      <c r="G21" s="48">
        <f t="shared" si="0"/>
        <v>642000</v>
      </c>
      <c r="H21" t="s">
        <v>205</v>
      </c>
      <c r="I21" s="6"/>
      <c r="J21" t="s">
        <v>205</v>
      </c>
      <c r="K21" t="s">
        <v>205</v>
      </c>
      <c r="L21" s="7"/>
    </row>
    <row r="22" spans="1:15">
      <c r="A22" s="52" t="s">
        <v>278</v>
      </c>
      <c r="B22" s="51" t="s">
        <v>194</v>
      </c>
      <c r="C22" s="51" t="s">
        <v>192</v>
      </c>
      <c r="D22" s="51" t="s">
        <v>13</v>
      </c>
      <c r="E22" s="45">
        <v>2</v>
      </c>
      <c r="F22" s="48">
        <v>43000000</v>
      </c>
      <c r="G22" s="48">
        <f t="shared" si="0"/>
        <v>86000000</v>
      </c>
      <c r="H22" t="s">
        <v>205</v>
      </c>
      <c r="I22" s="6"/>
      <c r="J22" t="s">
        <v>205</v>
      </c>
      <c r="K22" t="s">
        <v>205</v>
      </c>
      <c r="L22" s="7"/>
    </row>
    <row r="23" spans="1:15">
      <c r="A23" s="52" t="s">
        <v>280</v>
      </c>
      <c r="B23" s="51" t="s">
        <v>186</v>
      </c>
      <c r="C23" s="51" t="s">
        <v>187</v>
      </c>
      <c r="D23" s="51" t="s">
        <v>28</v>
      </c>
      <c r="E23" s="45">
        <v>1</v>
      </c>
      <c r="F23" s="48">
        <v>23900000</v>
      </c>
      <c r="G23" s="48">
        <f t="shared" si="0"/>
        <v>23900000</v>
      </c>
      <c r="H23" t="s">
        <v>205</v>
      </c>
      <c r="I23" s="6"/>
      <c r="J23" t="s">
        <v>205</v>
      </c>
      <c r="K23" t="s">
        <v>205</v>
      </c>
      <c r="L23" s="7"/>
    </row>
    <row r="24" spans="1:15">
      <c r="A24" s="52" t="s">
        <v>286</v>
      </c>
      <c r="B24" s="51" t="s">
        <v>196</v>
      </c>
      <c r="C24" s="51" t="s">
        <v>197</v>
      </c>
      <c r="D24" s="51" t="s">
        <v>15</v>
      </c>
      <c r="E24" s="45">
        <v>2</v>
      </c>
      <c r="F24" s="48">
        <v>1850000</v>
      </c>
      <c r="G24" s="48">
        <f t="shared" si="0"/>
        <v>3700000</v>
      </c>
      <c r="H24" t="s">
        <v>205</v>
      </c>
      <c r="I24" s="6"/>
      <c r="J24" t="s">
        <v>205</v>
      </c>
      <c r="K24" t="s">
        <v>205</v>
      </c>
      <c r="L24" s="7"/>
    </row>
    <row r="25" spans="1:15">
      <c r="H25" t="s">
        <v>205</v>
      </c>
      <c r="I25" s="6"/>
      <c r="J25" t="s">
        <v>205</v>
      </c>
      <c r="K25" t="s">
        <v>205</v>
      </c>
      <c r="L25" s="7"/>
    </row>
    <row r="26" spans="1:15">
      <c r="H26" t="s">
        <v>205</v>
      </c>
      <c r="I26" s="6"/>
      <c r="J26" t="s">
        <v>205</v>
      </c>
      <c r="K26" t="s">
        <v>205</v>
      </c>
      <c r="L26" s="7"/>
    </row>
    <row r="27" spans="1:15">
      <c r="H27" t="s">
        <v>205</v>
      </c>
      <c r="I27" s="6"/>
      <c r="J27" t="s">
        <v>205</v>
      </c>
      <c r="K27" t="s">
        <v>205</v>
      </c>
      <c r="L27" s="7"/>
    </row>
    <row r="28" spans="1:15">
      <c r="H28" t="s">
        <v>205</v>
      </c>
      <c r="I28" s="6"/>
      <c r="J28" t="s">
        <v>205</v>
      </c>
      <c r="K28" t="s">
        <v>205</v>
      </c>
      <c r="L28" s="7"/>
    </row>
    <row r="29" spans="1:15">
      <c r="H29" t="s">
        <v>205</v>
      </c>
      <c r="I29" s="6"/>
      <c r="J29" t="s">
        <v>205</v>
      </c>
      <c r="K29" t="s">
        <v>205</v>
      </c>
      <c r="L29" s="7"/>
    </row>
    <row r="30" spans="1:15">
      <c r="H30" t="s">
        <v>205</v>
      </c>
      <c r="I30" s="6"/>
      <c r="J30" t="s">
        <v>205</v>
      </c>
      <c r="K30" t="s">
        <v>205</v>
      </c>
      <c r="L30" s="7"/>
    </row>
    <row r="31" spans="1:15">
      <c r="H31" t="s">
        <v>205</v>
      </c>
      <c r="I31" s="6"/>
      <c r="J31" t="s">
        <v>205</v>
      </c>
      <c r="K31" t="s">
        <v>205</v>
      </c>
      <c r="L31" s="7"/>
    </row>
    <row r="32" spans="1:15">
      <c r="H32" t="s">
        <v>205</v>
      </c>
      <c r="I32" s="6"/>
      <c r="J32" t="s">
        <v>205</v>
      </c>
      <c r="K32" t="s">
        <v>205</v>
      </c>
      <c r="L32" s="7"/>
    </row>
    <row r="33" spans="8:12">
      <c r="H33" t="s">
        <v>205</v>
      </c>
      <c r="I33" s="6"/>
      <c r="J33" t="s">
        <v>205</v>
      </c>
      <c r="K33" t="s">
        <v>205</v>
      </c>
      <c r="L33" s="7"/>
    </row>
    <row r="34" spans="8:12">
      <c r="H34" t="s">
        <v>205</v>
      </c>
      <c r="I34" s="6"/>
      <c r="J34" t="s">
        <v>205</v>
      </c>
      <c r="K34" t="s">
        <v>205</v>
      </c>
      <c r="L34" s="7"/>
    </row>
    <row r="35" spans="8:12">
      <c r="H35" t="s">
        <v>205</v>
      </c>
      <c r="I35" s="6"/>
      <c r="J35" t="s">
        <v>205</v>
      </c>
      <c r="L35" s="7"/>
    </row>
    <row r="36" spans="8:12">
      <c r="H36" t="s">
        <v>205</v>
      </c>
      <c r="I36" s="6"/>
      <c r="J36" t="s">
        <v>205</v>
      </c>
      <c r="L36" s="7"/>
    </row>
    <row r="37" spans="8:12">
      <c r="H37" t="s">
        <v>205</v>
      </c>
      <c r="I37" s="6"/>
      <c r="J37" t="s">
        <v>205</v>
      </c>
      <c r="L37" s="7"/>
    </row>
    <row r="38" spans="8:12">
      <c r="H38" t="s">
        <v>205</v>
      </c>
      <c r="I38" s="6"/>
      <c r="J38" t="s">
        <v>205</v>
      </c>
      <c r="L38" s="7"/>
    </row>
    <row r="39" spans="8:12">
      <c r="H39" t="s">
        <v>205</v>
      </c>
      <c r="I39" s="6"/>
      <c r="J39" t="s">
        <v>205</v>
      </c>
      <c r="L39" s="7"/>
    </row>
    <row r="40" spans="8:12">
      <c r="H40" t="s">
        <v>205</v>
      </c>
      <c r="I40" s="6"/>
      <c r="J40" t="s">
        <v>205</v>
      </c>
      <c r="L40" s="7"/>
    </row>
    <row r="41" spans="8:12">
      <c r="H41" t="s">
        <v>205</v>
      </c>
      <c r="I41" s="6"/>
      <c r="J41" t="s">
        <v>205</v>
      </c>
      <c r="L41" s="7"/>
    </row>
    <row r="42" spans="8:12">
      <c r="H42" t="s">
        <v>205</v>
      </c>
      <c r="I42" s="6"/>
      <c r="J42" t="s">
        <v>205</v>
      </c>
      <c r="L42" s="7"/>
    </row>
    <row r="43" spans="8:12">
      <c r="H43" t="s">
        <v>205</v>
      </c>
      <c r="I43" s="6"/>
      <c r="J43" t="s">
        <v>205</v>
      </c>
      <c r="L43" s="7"/>
    </row>
    <row r="44" spans="8:12">
      <c r="H44" t="s">
        <v>205</v>
      </c>
      <c r="I44" s="6"/>
      <c r="J44" t="s">
        <v>205</v>
      </c>
      <c r="L44" s="7"/>
    </row>
    <row r="45" spans="8:12">
      <c r="H45" t="s">
        <v>205</v>
      </c>
      <c r="I45" s="6"/>
      <c r="J45" t="s">
        <v>205</v>
      </c>
      <c r="L45" s="7"/>
    </row>
    <row r="46" spans="8:12">
      <c r="H46" t="s">
        <v>205</v>
      </c>
      <c r="I46" s="6"/>
      <c r="J46" t="s">
        <v>205</v>
      </c>
      <c r="L46" s="7"/>
    </row>
    <row r="47" spans="8:12">
      <c r="H47" t="s">
        <v>205</v>
      </c>
      <c r="I47" s="6"/>
      <c r="J47" t="s">
        <v>205</v>
      </c>
      <c r="L47" s="7"/>
    </row>
    <row r="48" spans="8:12">
      <c r="H48" t="s">
        <v>205</v>
      </c>
      <c r="I48" s="6"/>
      <c r="J48" t="s">
        <v>205</v>
      </c>
      <c r="L48" s="7"/>
    </row>
    <row r="49" spans="8:12">
      <c r="H49" t="s">
        <v>205</v>
      </c>
      <c r="I49" s="6"/>
      <c r="J49" t="s">
        <v>205</v>
      </c>
      <c r="L49" s="7"/>
    </row>
    <row r="50" spans="8:12">
      <c r="H50" t="s">
        <v>205</v>
      </c>
      <c r="I50" s="6"/>
      <c r="J50" t="s">
        <v>205</v>
      </c>
      <c r="L50" s="7"/>
    </row>
    <row r="51" spans="8:12">
      <c r="H51" t="s">
        <v>205</v>
      </c>
      <c r="I51" s="6"/>
      <c r="J51" t="s">
        <v>205</v>
      </c>
      <c r="L51" s="7"/>
    </row>
    <row r="52" spans="8:12">
      <c r="H52" t="s">
        <v>205</v>
      </c>
      <c r="I52" s="6"/>
      <c r="J52" t="s">
        <v>205</v>
      </c>
      <c r="L52" s="7"/>
    </row>
    <row r="53" spans="8:12">
      <c r="H53" t="s">
        <v>205</v>
      </c>
      <c r="I53" s="6"/>
      <c r="J53" t="s">
        <v>205</v>
      </c>
      <c r="L53" s="7"/>
    </row>
    <row r="54" spans="8:12">
      <c r="H54" t="s">
        <v>205</v>
      </c>
      <c r="I54" s="6"/>
      <c r="J54" t="s">
        <v>205</v>
      </c>
      <c r="L54" s="7"/>
    </row>
    <row r="55" spans="8:12">
      <c r="H55" t="s">
        <v>205</v>
      </c>
      <c r="I55" s="6"/>
      <c r="J55" t="s">
        <v>205</v>
      </c>
      <c r="L55" s="7"/>
    </row>
    <row r="56" spans="8:12">
      <c r="H56" t="s">
        <v>205</v>
      </c>
      <c r="I56" s="6"/>
      <c r="J56" t="s">
        <v>205</v>
      </c>
      <c r="L56" s="7"/>
    </row>
    <row r="57" spans="8:12">
      <c r="H57" t="s">
        <v>205</v>
      </c>
      <c r="I57" s="6"/>
      <c r="J57" t="s">
        <v>205</v>
      </c>
      <c r="L57" s="7"/>
    </row>
    <row r="58" spans="8:12">
      <c r="H58" t="s">
        <v>205</v>
      </c>
      <c r="I58" s="6"/>
      <c r="J58" t="s">
        <v>205</v>
      </c>
      <c r="L58" s="7"/>
    </row>
    <row r="59" spans="8:12">
      <c r="H59" t="s">
        <v>205</v>
      </c>
      <c r="I59" s="6"/>
      <c r="J59" t="s">
        <v>205</v>
      </c>
      <c r="L59" s="7"/>
    </row>
    <row r="60" spans="8:12">
      <c r="H60" t="s">
        <v>205</v>
      </c>
      <c r="I60" s="6"/>
      <c r="J60" t="s">
        <v>205</v>
      </c>
      <c r="L60" s="7"/>
    </row>
    <row r="61" spans="8:12">
      <c r="H61" t="s">
        <v>205</v>
      </c>
      <c r="I61" s="6"/>
      <c r="J61" t="s">
        <v>205</v>
      </c>
      <c r="L61" s="7"/>
    </row>
    <row r="62" spans="8:12">
      <c r="H62" t="s">
        <v>205</v>
      </c>
      <c r="I62" s="6"/>
      <c r="J62" t="s">
        <v>205</v>
      </c>
      <c r="L62" s="7"/>
    </row>
    <row r="63" spans="8:12">
      <c r="H63" t="s">
        <v>205</v>
      </c>
      <c r="I63" s="6"/>
      <c r="J63" t="s">
        <v>205</v>
      </c>
      <c r="L63" s="7"/>
    </row>
    <row r="64" spans="8:12">
      <c r="H64" t="s">
        <v>205</v>
      </c>
      <c r="I64" s="6"/>
      <c r="J64" t="s">
        <v>205</v>
      </c>
      <c r="L64" s="7"/>
    </row>
    <row r="65" spans="8:12">
      <c r="H65" t="s">
        <v>205</v>
      </c>
      <c r="I65" s="6"/>
      <c r="J65" t="s">
        <v>205</v>
      </c>
      <c r="L65" s="7"/>
    </row>
    <row r="66" spans="8:12">
      <c r="H66" t="s">
        <v>205</v>
      </c>
      <c r="I66" s="6"/>
      <c r="J66" t="s">
        <v>205</v>
      </c>
      <c r="L66" s="7"/>
    </row>
    <row r="67" spans="8:12">
      <c r="H67" t="s">
        <v>205</v>
      </c>
      <c r="I67" s="6"/>
      <c r="J67" t="s">
        <v>205</v>
      </c>
      <c r="L67" s="7"/>
    </row>
    <row r="68" spans="8:12">
      <c r="H68" t="s">
        <v>205</v>
      </c>
      <c r="I68" s="6"/>
      <c r="J68" t="s">
        <v>205</v>
      </c>
      <c r="L68" s="7"/>
    </row>
    <row r="69" spans="8:12">
      <c r="H69" t="s">
        <v>205</v>
      </c>
      <c r="I69" s="6"/>
      <c r="J69" t="s">
        <v>205</v>
      </c>
      <c r="L69" s="7"/>
    </row>
    <row r="70" spans="8:12">
      <c r="H70" t="s">
        <v>205</v>
      </c>
      <c r="I70" s="6"/>
      <c r="J70" t="s">
        <v>205</v>
      </c>
      <c r="L70" s="7"/>
    </row>
    <row r="71" spans="8:12">
      <c r="H71" t="s">
        <v>205</v>
      </c>
      <c r="I71" s="6"/>
      <c r="J71" t="s">
        <v>205</v>
      </c>
      <c r="L71" s="7"/>
    </row>
    <row r="72" spans="8:12">
      <c r="H72" t="s">
        <v>205</v>
      </c>
      <c r="I72" s="6"/>
      <c r="J72" t="s">
        <v>205</v>
      </c>
      <c r="L72" s="7"/>
    </row>
    <row r="73" spans="8:12">
      <c r="H73" t="s">
        <v>205</v>
      </c>
      <c r="I73" s="6"/>
      <c r="J73" t="s">
        <v>205</v>
      </c>
      <c r="L73" s="7"/>
    </row>
    <row r="74" spans="8:12">
      <c r="H74" t="s">
        <v>205</v>
      </c>
      <c r="I74" s="6"/>
      <c r="J74" t="s">
        <v>205</v>
      </c>
      <c r="L74" s="7"/>
    </row>
    <row r="75" spans="8:12">
      <c r="H75" t="s">
        <v>205</v>
      </c>
      <c r="I75" s="6"/>
      <c r="J75" t="s">
        <v>205</v>
      </c>
      <c r="L75" s="7"/>
    </row>
    <row r="76" spans="8:12">
      <c r="H76" t="s">
        <v>205</v>
      </c>
      <c r="I76" s="6"/>
      <c r="J76" t="s">
        <v>205</v>
      </c>
      <c r="L76" s="7"/>
    </row>
    <row r="77" spans="8:12">
      <c r="H77" t="s">
        <v>205</v>
      </c>
      <c r="I77" s="6"/>
      <c r="J77" t="s">
        <v>205</v>
      </c>
      <c r="L77" s="7"/>
    </row>
    <row r="78" spans="8:12">
      <c r="H78" t="s">
        <v>205</v>
      </c>
      <c r="I78" s="6"/>
      <c r="J78" t="s">
        <v>205</v>
      </c>
      <c r="L78" s="7"/>
    </row>
    <row r="79" spans="8:12">
      <c r="H79" t="s">
        <v>205</v>
      </c>
      <c r="I79" s="6"/>
      <c r="J79" t="s">
        <v>205</v>
      </c>
      <c r="L79" s="7"/>
    </row>
    <row r="80" spans="8:12">
      <c r="H80" t="s">
        <v>205</v>
      </c>
      <c r="I80" s="6"/>
      <c r="J80" t="s">
        <v>205</v>
      </c>
      <c r="L80" s="7"/>
    </row>
    <row r="81" spans="8:12">
      <c r="H81" t="s">
        <v>205</v>
      </c>
      <c r="I81" s="6"/>
      <c r="J81" t="s">
        <v>205</v>
      </c>
      <c r="L81" s="7"/>
    </row>
    <row r="82" spans="8:12">
      <c r="H82" t="s">
        <v>205</v>
      </c>
      <c r="I82" s="6"/>
      <c r="J82" t="s">
        <v>205</v>
      </c>
      <c r="L82" s="7"/>
    </row>
    <row r="83" spans="8:12">
      <c r="H83" t="s">
        <v>205</v>
      </c>
      <c r="I83" s="6"/>
      <c r="J83" t="s">
        <v>205</v>
      </c>
      <c r="L83" s="7"/>
    </row>
    <row r="84" spans="8:12">
      <c r="H84" t="s">
        <v>205</v>
      </c>
      <c r="I84" s="6"/>
      <c r="J84" t="s">
        <v>205</v>
      </c>
      <c r="L84" s="7"/>
    </row>
    <row r="85" spans="8:12">
      <c r="H85" t="s">
        <v>205</v>
      </c>
      <c r="I85" s="6"/>
      <c r="J85" t="s">
        <v>205</v>
      </c>
      <c r="L85" s="7"/>
    </row>
    <row r="86" spans="8:12">
      <c r="H86" t="s">
        <v>205</v>
      </c>
      <c r="I86" s="6"/>
      <c r="J86" t="s">
        <v>205</v>
      </c>
      <c r="L86" s="7"/>
    </row>
    <row r="87" spans="8:12">
      <c r="H87" t="s">
        <v>205</v>
      </c>
      <c r="I87" s="6"/>
      <c r="J87" t="s">
        <v>205</v>
      </c>
      <c r="L87" s="7"/>
    </row>
    <row r="88" spans="8:12">
      <c r="H88" t="s">
        <v>205</v>
      </c>
      <c r="I88" s="6"/>
      <c r="J88" t="s">
        <v>205</v>
      </c>
      <c r="L88" s="7"/>
    </row>
    <row r="89" spans="8:12">
      <c r="H89" t="s">
        <v>205</v>
      </c>
      <c r="I89" s="6"/>
      <c r="J89" t="s">
        <v>205</v>
      </c>
      <c r="L89" s="7"/>
    </row>
    <row r="90" spans="8:12">
      <c r="H90" t="s">
        <v>205</v>
      </c>
      <c r="I90" s="6"/>
      <c r="J90" t="s">
        <v>205</v>
      </c>
      <c r="L90" s="7"/>
    </row>
    <row r="91" spans="8:12">
      <c r="H91" t="s">
        <v>205</v>
      </c>
      <c r="I91" s="6"/>
      <c r="J91" t="s">
        <v>205</v>
      </c>
      <c r="L91" s="7"/>
    </row>
    <row r="92" spans="8:12">
      <c r="H92" t="s">
        <v>205</v>
      </c>
      <c r="I92" s="6"/>
      <c r="J92" t="s">
        <v>205</v>
      </c>
      <c r="L92" s="7"/>
    </row>
    <row r="93" spans="8:12">
      <c r="H93" t="s">
        <v>205</v>
      </c>
      <c r="I93" s="6"/>
      <c r="J93" t="s">
        <v>205</v>
      </c>
      <c r="L93" s="7"/>
    </row>
    <row r="94" spans="8:12">
      <c r="H94" t="s">
        <v>205</v>
      </c>
      <c r="I94" s="6"/>
      <c r="J94" t="s">
        <v>205</v>
      </c>
      <c r="L94" s="7"/>
    </row>
    <row r="95" spans="8:12">
      <c r="H95" t="s">
        <v>205</v>
      </c>
      <c r="I95" s="6"/>
      <c r="J95" t="s">
        <v>205</v>
      </c>
      <c r="L95" s="7"/>
    </row>
    <row r="96" spans="8:12">
      <c r="H96" t="s">
        <v>205</v>
      </c>
      <c r="I96" s="6"/>
      <c r="J96" t="s">
        <v>205</v>
      </c>
      <c r="L96" s="7"/>
    </row>
    <row r="97" spans="10:10">
      <c r="J97" t="s">
        <v>205</v>
      </c>
    </row>
    <row r="98" spans="10:10">
      <c r="J98" t="s">
        <v>205</v>
      </c>
    </row>
    <row r="99" spans="10:10">
      <c r="J99" t="s">
        <v>205</v>
      </c>
    </row>
    <row r="100" spans="10:10">
      <c r="J100" t="s">
        <v>205</v>
      </c>
    </row>
    <row r="101" spans="10:10">
      <c r="J101" t="s">
        <v>205</v>
      </c>
    </row>
    <row r="102" spans="10:10">
      <c r="J102" t="s">
        <v>205</v>
      </c>
    </row>
    <row r="103" spans="10:10">
      <c r="J103" t="s">
        <v>205</v>
      </c>
    </row>
    <row r="104" spans="10:10">
      <c r="J104" t="s">
        <v>205</v>
      </c>
    </row>
    <row r="105" spans="10:10">
      <c r="J105" t="s">
        <v>205</v>
      </c>
    </row>
    <row r="106" spans="10:10">
      <c r="J106" t="s">
        <v>205</v>
      </c>
    </row>
    <row r="107" spans="10:10">
      <c r="J107" t="s">
        <v>205</v>
      </c>
    </row>
    <row r="108" spans="10:10">
      <c r="J108" t="s">
        <v>205</v>
      </c>
    </row>
    <row r="109" spans="10:10">
      <c r="J109" t="s">
        <v>205</v>
      </c>
    </row>
    <row r="110" spans="10:10">
      <c r="J110" t="s">
        <v>205</v>
      </c>
    </row>
    <row r="111" spans="10:10">
      <c r="J111" t="s">
        <v>205</v>
      </c>
    </row>
    <row r="112" spans="10:10">
      <c r="J112" t="s">
        <v>205</v>
      </c>
    </row>
    <row r="113" spans="10:10">
      <c r="J113" t="s">
        <v>205</v>
      </c>
    </row>
    <row r="114" spans="10:10">
      <c r="J114" t="s">
        <v>205</v>
      </c>
    </row>
    <row r="115" spans="10:10">
      <c r="J115" t="s">
        <v>205</v>
      </c>
    </row>
    <row r="116" spans="10:10">
      <c r="J116" t="s">
        <v>205</v>
      </c>
    </row>
    <row r="117" spans="10:10">
      <c r="J117" t="s">
        <v>205</v>
      </c>
    </row>
    <row r="118" spans="10:10">
      <c r="J118" t="s">
        <v>205</v>
      </c>
    </row>
    <row r="119" spans="10:10">
      <c r="J119" t="s">
        <v>205</v>
      </c>
    </row>
    <row r="120" spans="10:10">
      <c r="J120" t="s">
        <v>205</v>
      </c>
    </row>
    <row r="121" spans="10:10">
      <c r="J121" t="s">
        <v>205</v>
      </c>
    </row>
    <row r="122" spans="10:10">
      <c r="J122" t="s">
        <v>205</v>
      </c>
    </row>
    <row r="123" spans="10:10">
      <c r="J123" t="s">
        <v>205</v>
      </c>
    </row>
    <row r="124" spans="10:10">
      <c r="J124" t="s">
        <v>205</v>
      </c>
    </row>
    <row r="125" spans="10:10">
      <c r="J125" t="s">
        <v>205</v>
      </c>
    </row>
    <row r="126" spans="10:10">
      <c r="J126" t="s">
        <v>205</v>
      </c>
    </row>
    <row r="127" spans="10:10">
      <c r="J127" t="s">
        <v>205</v>
      </c>
    </row>
    <row r="128" spans="10:10">
      <c r="J128" t="s">
        <v>205</v>
      </c>
    </row>
    <row r="129" spans="10:10">
      <c r="J129" t="s">
        <v>205</v>
      </c>
    </row>
    <row r="130" spans="10:10">
      <c r="J130" t="s">
        <v>205</v>
      </c>
    </row>
    <row r="131" spans="10:10">
      <c r="J131" t="s">
        <v>205</v>
      </c>
    </row>
    <row r="132" spans="10:10">
      <c r="J132" t="s">
        <v>205</v>
      </c>
    </row>
    <row r="133" spans="10:10">
      <c r="J133" t="s">
        <v>205</v>
      </c>
    </row>
    <row r="134" spans="10:10">
      <c r="J134" t="s">
        <v>205</v>
      </c>
    </row>
    <row r="135" spans="10:10">
      <c r="J135" t="s">
        <v>205</v>
      </c>
    </row>
    <row r="136" spans="10:10">
      <c r="J136" t="s">
        <v>205</v>
      </c>
    </row>
    <row r="137" spans="10:10">
      <c r="J137" t="s">
        <v>205</v>
      </c>
    </row>
    <row r="138" spans="10:10">
      <c r="J138" t="s">
        <v>205</v>
      </c>
    </row>
    <row r="139" spans="10:10">
      <c r="J139" t="s">
        <v>205</v>
      </c>
    </row>
    <row r="140" spans="10:10">
      <c r="J140" t="s">
        <v>205</v>
      </c>
    </row>
    <row r="141" spans="10:10">
      <c r="J141" t="s">
        <v>205</v>
      </c>
    </row>
    <row r="142" spans="10:10">
      <c r="J142" t="s">
        <v>205</v>
      </c>
    </row>
    <row r="143" spans="10:10">
      <c r="J143" t="s">
        <v>205</v>
      </c>
    </row>
    <row r="144" spans="10:10">
      <c r="J144" t="s">
        <v>205</v>
      </c>
    </row>
    <row r="145" spans="10:10">
      <c r="J145" t="s">
        <v>205</v>
      </c>
    </row>
    <row r="146" spans="10:10">
      <c r="J146" t="s">
        <v>205</v>
      </c>
    </row>
    <row r="147" spans="10:10">
      <c r="J147" t="s">
        <v>205</v>
      </c>
    </row>
    <row r="148" spans="10:10">
      <c r="J148" t="s">
        <v>205</v>
      </c>
    </row>
    <row r="149" spans="10:10">
      <c r="J149" t="s">
        <v>205</v>
      </c>
    </row>
    <row r="150" spans="10:10">
      <c r="J150" t="s">
        <v>205</v>
      </c>
    </row>
    <row r="151" spans="10:10">
      <c r="J151" t="s">
        <v>205</v>
      </c>
    </row>
    <row r="152" spans="10:10">
      <c r="J152" t="s">
        <v>205</v>
      </c>
    </row>
    <row r="153" spans="10:10">
      <c r="J153" t="s">
        <v>205</v>
      </c>
    </row>
    <row r="154" spans="10:10">
      <c r="J154" t="s">
        <v>205</v>
      </c>
    </row>
    <row r="155" spans="10:10">
      <c r="J155" t="s">
        <v>205</v>
      </c>
    </row>
    <row r="156" spans="10:10">
      <c r="J156" t="s">
        <v>205</v>
      </c>
    </row>
    <row r="157" spans="10:10">
      <c r="J157" t="s">
        <v>205</v>
      </c>
    </row>
    <row r="158" spans="10:10">
      <c r="J158" t="s">
        <v>205</v>
      </c>
    </row>
    <row r="159" spans="10:10">
      <c r="J159" t="s">
        <v>205</v>
      </c>
    </row>
    <row r="160" spans="10:10">
      <c r="J160" t="s">
        <v>205</v>
      </c>
    </row>
    <row r="161" spans="10:10">
      <c r="J161" t="s">
        <v>205</v>
      </c>
    </row>
    <row r="162" spans="10:10">
      <c r="J162" t="s">
        <v>205</v>
      </c>
    </row>
    <row r="163" spans="10:10">
      <c r="J163" t="s">
        <v>205</v>
      </c>
    </row>
    <row r="164" spans="10:10">
      <c r="J164" t="s">
        <v>205</v>
      </c>
    </row>
    <row r="165" spans="10:10">
      <c r="J165" t="s">
        <v>205</v>
      </c>
    </row>
    <row r="166" spans="10:10">
      <c r="J166" t="s">
        <v>205</v>
      </c>
    </row>
    <row r="167" spans="10:10">
      <c r="J167" t="s">
        <v>205</v>
      </c>
    </row>
    <row r="168" spans="10:10">
      <c r="J168" t="s">
        <v>205</v>
      </c>
    </row>
    <row r="169" spans="10:10">
      <c r="J169" t="s">
        <v>205</v>
      </c>
    </row>
    <row r="170" spans="10:10">
      <c r="J170" t="s">
        <v>205</v>
      </c>
    </row>
    <row r="171" spans="10:10">
      <c r="J171" t="s">
        <v>205</v>
      </c>
    </row>
    <row r="172" spans="10:10">
      <c r="J172" t="s">
        <v>205</v>
      </c>
    </row>
    <row r="173" spans="10:10">
      <c r="J173" t="s">
        <v>205</v>
      </c>
    </row>
    <row r="174" spans="10:10">
      <c r="J174" t="s">
        <v>205</v>
      </c>
    </row>
    <row r="175" spans="10:10">
      <c r="J175" t="s">
        <v>205</v>
      </c>
    </row>
    <row r="176" spans="10:10">
      <c r="J176" t="s">
        <v>205</v>
      </c>
    </row>
    <row r="177" spans="10:10">
      <c r="J177" t="s">
        <v>205</v>
      </c>
    </row>
    <row r="178" spans="10:10">
      <c r="J178" t="s">
        <v>205</v>
      </c>
    </row>
    <row r="179" spans="10:10">
      <c r="J179" t="s">
        <v>205</v>
      </c>
    </row>
    <row r="180" spans="10:10">
      <c r="J180" t="s">
        <v>205</v>
      </c>
    </row>
    <row r="181" spans="10:10">
      <c r="J181" t="s">
        <v>205</v>
      </c>
    </row>
    <row r="182" spans="10:10">
      <c r="J182" t="s">
        <v>205</v>
      </c>
    </row>
    <row r="183" spans="10:10">
      <c r="J183" t="s">
        <v>205</v>
      </c>
    </row>
    <row r="184" spans="10:10">
      <c r="J184" t="s">
        <v>205</v>
      </c>
    </row>
    <row r="185" spans="10:10">
      <c r="J185" t="s">
        <v>205</v>
      </c>
    </row>
    <row r="186" spans="10:10">
      <c r="J186" t="s">
        <v>205</v>
      </c>
    </row>
    <row r="187" spans="10:10">
      <c r="J187" t="s">
        <v>205</v>
      </c>
    </row>
    <row r="188" spans="10:10">
      <c r="J188" t="s">
        <v>205</v>
      </c>
    </row>
    <row r="189" spans="10:10">
      <c r="J189" t="s">
        <v>205</v>
      </c>
    </row>
    <row r="190" spans="10:10">
      <c r="J190" t="s">
        <v>205</v>
      </c>
    </row>
    <row r="191" spans="10:10">
      <c r="J191" t="s">
        <v>205</v>
      </c>
    </row>
    <row r="192" spans="10:10">
      <c r="J192" t="s">
        <v>205</v>
      </c>
    </row>
    <row r="193" spans="10:10">
      <c r="J193" t="s">
        <v>205</v>
      </c>
    </row>
    <row r="194" spans="10:10">
      <c r="J194" t="s">
        <v>205</v>
      </c>
    </row>
    <row r="195" spans="10:10">
      <c r="J195" t="s">
        <v>205</v>
      </c>
    </row>
    <row r="196" spans="10:10">
      <c r="J196" t="s">
        <v>205</v>
      </c>
    </row>
    <row r="197" spans="10:10">
      <c r="J197" t="s">
        <v>205</v>
      </c>
    </row>
    <row r="198" spans="10:10">
      <c r="J198" t="s">
        <v>205</v>
      </c>
    </row>
    <row r="199" spans="10:10">
      <c r="J199" t="s">
        <v>205</v>
      </c>
    </row>
    <row r="200" spans="10:10">
      <c r="J200" t="s">
        <v>205</v>
      </c>
    </row>
    <row r="201" spans="10:10">
      <c r="J201" t="s">
        <v>205</v>
      </c>
    </row>
    <row r="202" spans="10:10">
      <c r="J202" t="s">
        <v>205</v>
      </c>
    </row>
    <row r="203" spans="10:10">
      <c r="J203" t="s">
        <v>205</v>
      </c>
    </row>
    <row r="204" spans="10:10">
      <c r="J204" t="s">
        <v>205</v>
      </c>
    </row>
    <row r="205" spans="10:10">
      <c r="J205" t="s">
        <v>205</v>
      </c>
    </row>
    <row r="206" spans="10:10">
      <c r="J206" t="s">
        <v>205</v>
      </c>
    </row>
    <row r="207" spans="10:10">
      <c r="J207" t="s">
        <v>205</v>
      </c>
    </row>
    <row r="208" spans="10:10">
      <c r="J208" t="s">
        <v>205</v>
      </c>
    </row>
    <row r="209" spans="10:10">
      <c r="J209" t="s">
        <v>205</v>
      </c>
    </row>
    <row r="210" spans="10:10">
      <c r="J210" t="s">
        <v>205</v>
      </c>
    </row>
    <row r="211" spans="10:10">
      <c r="J211" t="s">
        <v>205</v>
      </c>
    </row>
    <row r="212" spans="10:10">
      <c r="J212" t="s">
        <v>205</v>
      </c>
    </row>
    <row r="213" spans="10:10">
      <c r="J213" t="s">
        <v>205</v>
      </c>
    </row>
    <row r="214" spans="10:10">
      <c r="J214" t="s">
        <v>205</v>
      </c>
    </row>
    <row r="215" spans="10:10">
      <c r="J215" t="s">
        <v>205</v>
      </c>
    </row>
    <row r="216" spans="10:10">
      <c r="J216" t="s">
        <v>205</v>
      </c>
    </row>
    <row r="217" spans="10:10">
      <c r="J217" t="s">
        <v>205</v>
      </c>
    </row>
    <row r="218" spans="10:10">
      <c r="J218" t="s">
        <v>205</v>
      </c>
    </row>
    <row r="219" spans="10:10">
      <c r="J219" t="s">
        <v>205</v>
      </c>
    </row>
    <row r="220" spans="10:10">
      <c r="J220" t="s">
        <v>205</v>
      </c>
    </row>
    <row r="221" spans="10:10">
      <c r="J221" t="s">
        <v>205</v>
      </c>
    </row>
    <row r="222" spans="10:10">
      <c r="J222" t="s">
        <v>205</v>
      </c>
    </row>
    <row r="223" spans="10:10">
      <c r="J223" t="s">
        <v>205</v>
      </c>
    </row>
    <row r="224" spans="10:10">
      <c r="J224" t="s">
        <v>205</v>
      </c>
    </row>
    <row r="225" spans="10:10">
      <c r="J225" t="s">
        <v>205</v>
      </c>
    </row>
    <row r="226" spans="10:10">
      <c r="J226" t="s">
        <v>205</v>
      </c>
    </row>
    <row r="227" spans="10:10">
      <c r="J227" t="s">
        <v>205</v>
      </c>
    </row>
    <row r="228" spans="10:10">
      <c r="J228" t="s">
        <v>205</v>
      </c>
    </row>
    <row r="229" spans="10:10">
      <c r="J229" t="s">
        <v>205</v>
      </c>
    </row>
    <row r="230" spans="10:10">
      <c r="J230" t="s">
        <v>205</v>
      </c>
    </row>
    <row r="231" spans="10:10">
      <c r="J231" t="s">
        <v>205</v>
      </c>
    </row>
    <row r="232" spans="10:10">
      <c r="J232" t="s">
        <v>205</v>
      </c>
    </row>
    <row r="233" spans="10:10">
      <c r="J233" t="s">
        <v>205</v>
      </c>
    </row>
    <row r="234" spans="10:10">
      <c r="J234" t="s">
        <v>205</v>
      </c>
    </row>
    <row r="235" spans="10:10">
      <c r="J235" t="s">
        <v>205</v>
      </c>
    </row>
    <row r="236" spans="10:10">
      <c r="J236" t="s">
        <v>205</v>
      </c>
    </row>
    <row r="237" spans="10:10">
      <c r="J237" t="s">
        <v>205</v>
      </c>
    </row>
    <row r="238" spans="10:10">
      <c r="J238" t="s">
        <v>205</v>
      </c>
    </row>
    <row r="239" spans="10:10">
      <c r="J239" t="s">
        <v>205</v>
      </c>
    </row>
    <row r="240" spans="10:10">
      <c r="J240" t="s">
        <v>205</v>
      </c>
    </row>
    <row r="241" spans="10:10">
      <c r="J241" t="s">
        <v>205</v>
      </c>
    </row>
    <row r="242" spans="10:10">
      <c r="J242" t="s">
        <v>205</v>
      </c>
    </row>
    <row r="243" spans="10:10">
      <c r="J243" t="s">
        <v>205</v>
      </c>
    </row>
    <row r="244" spans="10:10">
      <c r="J244" t="s">
        <v>205</v>
      </c>
    </row>
    <row r="245" spans="10:10">
      <c r="J245" t="s">
        <v>205</v>
      </c>
    </row>
    <row r="246" spans="10:10">
      <c r="J246" t="s">
        <v>205</v>
      </c>
    </row>
    <row r="247" spans="10:10">
      <c r="J247" t="s">
        <v>205</v>
      </c>
    </row>
    <row r="248" spans="10:10">
      <c r="J248" t="s">
        <v>205</v>
      </c>
    </row>
    <row r="249" spans="10:10">
      <c r="J249" t="s">
        <v>205</v>
      </c>
    </row>
    <row r="250" spans="10:10">
      <c r="J250" t="s">
        <v>205</v>
      </c>
    </row>
    <row r="251" spans="10:10">
      <c r="J251" t="s">
        <v>205</v>
      </c>
    </row>
    <row r="252" spans="10:10">
      <c r="J252" t="s">
        <v>205</v>
      </c>
    </row>
    <row r="253" spans="10:10">
      <c r="J253" t="s">
        <v>205</v>
      </c>
    </row>
    <row r="254" spans="10:10">
      <c r="J254" t="s">
        <v>205</v>
      </c>
    </row>
    <row r="255" spans="10:10">
      <c r="J255" t="s">
        <v>205</v>
      </c>
    </row>
    <row r="256" spans="10:10">
      <c r="J256" t="s">
        <v>205</v>
      </c>
    </row>
    <row r="257" spans="10:10">
      <c r="J257" t="s">
        <v>205</v>
      </c>
    </row>
    <row r="258" spans="10:10">
      <c r="J258" t="s">
        <v>205</v>
      </c>
    </row>
    <row r="259" spans="10:10">
      <c r="J259" t="s">
        <v>205</v>
      </c>
    </row>
    <row r="260" spans="10:10">
      <c r="J260" t="s">
        <v>205</v>
      </c>
    </row>
    <row r="261" spans="10:10">
      <c r="J261" t="s">
        <v>205</v>
      </c>
    </row>
    <row r="262" spans="10:10">
      <c r="J262" t="s">
        <v>205</v>
      </c>
    </row>
    <row r="263" spans="10:10">
      <c r="J263" t="s">
        <v>205</v>
      </c>
    </row>
    <row r="264" spans="10:10">
      <c r="J264" t="s">
        <v>205</v>
      </c>
    </row>
    <row r="265" spans="10:10">
      <c r="J265" t="s">
        <v>205</v>
      </c>
    </row>
    <row r="266" spans="10:10">
      <c r="J266" t="s">
        <v>205</v>
      </c>
    </row>
    <row r="267" spans="10:10">
      <c r="J267" t="s">
        <v>205</v>
      </c>
    </row>
    <row r="268" spans="10:10">
      <c r="J268" t="s">
        <v>205</v>
      </c>
    </row>
    <row r="269" spans="10:10">
      <c r="J269" t="s">
        <v>205</v>
      </c>
    </row>
    <row r="270" spans="10:10">
      <c r="J270" t="s">
        <v>205</v>
      </c>
    </row>
    <row r="271" spans="10:10">
      <c r="J271" t="s">
        <v>205</v>
      </c>
    </row>
    <row r="272" spans="10:10">
      <c r="J272" t="s">
        <v>205</v>
      </c>
    </row>
    <row r="273" spans="10:10">
      <c r="J273" t="s">
        <v>205</v>
      </c>
    </row>
    <row r="274" spans="10:10">
      <c r="J274" t="s">
        <v>205</v>
      </c>
    </row>
    <row r="275" spans="10:10">
      <c r="J275" t="s">
        <v>205</v>
      </c>
    </row>
    <row r="276" spans="10:10">
      <c r="J276" t="s">
        <v>205</v>
      </c>
    </row>
    <row r="277" spans="10:10">
      <c r="J277" t="s">
        <v>205</v>
      </c>
    </row>
    <row r="278" spans="10:10">
      <c r="J278" t="s">
        <v>205</v>
      </c>
    </row>
    <row r="279" spans="10:10">
      <c r="J279" t="s">
        <v>205</v>
      </c>
    </row>
    <row r="280" spans="10:10">
      <c r="J280" t="s">
        <v>205</v>
      </c>
    </row>
    <row r="281" spans="10:10">
      <c r="J281" t="s">
        <v>205</v>
      </c>
    </row>
    <row r="282" spans="10:10">
      <c r="J282" t="s">
        <v>205</v>
      </c>
    </row>
    <row r="283" spans="10:10">
      <c r="J283" t="s">
        <v>205</v>
      </c>
    </row>
    <row r="284" spans="10:10">
      <c r="J284" t="s">
        <v>205</v>
      </c>
    </row>
    <row r="285" spans="10:10">
      <c r="J285" t="s">
        <v>205</v>
      </c>
    </row>
    <row r="286" spans="10:10">
      <c r="J286" t="s">
        <v>205</v>
      </c>
    </row>
    <row r="287" spans="10:10">
      <c r="J287" t="s">
        <v>205</v>
      </c>
    </row>
    <row r="288" spans="10:10">
      <c r="J288" t="s">
        <v>205</v>
      </c>
    </row>
    <row r="289" spans="10:10">
      <c r="J289" t="s">
        <v>205</v>
      </c>
    </row>
    <row r="290" spans="10:10">
      <c r="J290" t="s">
        <v>205</v>
      </c>
    </row>
    <row r="291" spans="10:10">
      <c r="J291" t="s">
        <v>205</v>
      </c>
    </row>
    <row r="292" spans="10:10">
      <c r="J292" t="s">
        <v>205</v>
      </c>
    </row>
    <row r="293" spans="10:10">
      <c r="J293" t="s">
        <v>205</v>
      </c>
    </row>
    <row r="294" spans="10:10">
      <c r="J294" t="s">
        <v>205</v>
      </c>
    </row>
    <row r="295" spans="10:10">
      <c r="J295" t="s">
        <v>205</v>
      </c>
    </row>
    <row r="296" spans="10:10">
      <c r="J296" t="s">
        <v>205</v>
      </c>
    </row>
    <row r="297" spans="10:10">
      <c r="J297" t="s">
        <v>205</v>
      </c>
    </row>
    <row r="298" spans="10:10">
      <c r="J298" t="s">
        <v>205</v>
      </c>
    </row>
    <row r="299" spans="10:10">
      <c r="J299" t="s">
        <v>205</v>
      </c>
    </row>
    <row r="300" spans="10:10">
      <c r="J300" t="s">
        <v>205</v>
      </c>
    </row>
    <row r="301" spans="10:10">
      <c r="J301" t="s">
        <v>205</v>
      </c>
    </row>
    <row r="302" spans="10:10">
      <c r="J302" t="s">
        <v>205</v>
      </c>
    </row>
    <row r="303" spans="10:10">
      <c r="J303" t="s">
        <v>205</v>
      </c>
    </row>
    <row r="304" spans="10:10">
      <c r="J304" t="s">
        <v>205</v>
      </c>
    </row>
    <row r="305" spans="10:10">
      <c r="J305" t="s">
        <v>205</v>
      </c>
    </row>
    <row r="306" spans="10:10">
      <c r="J306" t="s">
        <v>205</v>
      </c>
    </row>
    <row r="307" spans="10:10">
      <c r="J307" t="s">
        <v>205</v>
      </c>
    </row>
    <row r="308" spans="10:10">
      <c r="J308" t="s">
        <v>205</v>
      </c>
    </row>
    <row r="309" spans="10:10">
      <c r="J309" t="s">
        <v>205</v>
      </c>
    </row>
    <row r="310" spans="10:10">
      <c r="J310" t="s">
        <v>205</v>
      </c>
    </row>
    <row r="311" spans="10:10">
      <c r="J311" t="s">
        <v>205</v>
      </c>
    </row>
    <row r="312" spans="10:10">
      <c r="J312" t="s">
        <v>205</v>
      </c>
    </row>
    <row r="313" spans="10:10">
      <c r="J313" t="s">
        <v>205</v>
      </c>
    </row>
    <row r="314" spans="10:10">
      <c r="J314" t="s">
        <v>205</v>
      </c>
    </row>
    <row r="315" spans="10:10">
      <c r="J315" t="s">
        <v>205</v>
      </c>
    </row>
    <row r="316" spans="10:10">
      <c r="J316" t="s">
        <v>205</v>
      </c>
    </row>
    <row r="317" spans="10:10">
      <c r="J317" t="s">
        <v>205</v>
      </c>
    </row>
    <row r="318" spans="10:10">
      <c r="J318" t="s">
        <v>205</v>
      </c>
    </row>
    <row r="319" spans="10:10">
      <c r="J319" t="s">
        <v>205</v>
      </c>
    </row>
    <row r="320" spans="10:10">
      <c r="J320" t="s">
        <v>205</v>
      </c>
    </row>
    <row r="321" spans="10:10">
      <c r="J321" t="s">
        <v>205</v>
      </c>
    </row>
    <row r="322" spans="10:10">
      <c r="J322" t="s">
        <v>205</v>
      </c>
    </row>
    <row r="323" spans="10:10">
      <c r="J323" t="s">
        <v>205</v>
      </c>
    </row>
    <row r="324" spans="10:10">
      <c r="J324" t="s">
        <v>205</v>
      </c>
    </row>
    <row r="325" spans="10:10">
      <c r="J325" t="s">
        <v>205</v>
      </c>
    </row>
    <row r="326" spans="10:10">
      <c r="J326" t="s">
        <v>205</v>
      </c>
    </row>
    <row r="327" spans="10:10">
      <c r="J327" t="s">
        <v>205</v>
      </c>
    </row>
    <row r="328" spans="10:10">
      <c r="J328" t="s">
        <v>205</v>
      </c>
    </row>
    <row r="329" spans="10:10">
      <c r="J329" t="s">
        <v>205</v>
      </c>
    </row>
    <row r="330" spans="10:10">
      <c r="J330" t="s">
        <v>205</v>
      </c>
    </row>
    <row r="331" spans="10:10">
      <c r="J331" t="s">
        <v>205</v>
      </c>
    </row>
    <row r="332" spans="10:10">
      <c r="J332" t="s">
        <v>205</v>
      </c>
    </row>
    <row r="333" spans="10:10">
      <c r="J333" t="s">
        <v>205</v>
      </c>
    </row>
    <row r="334" spans="10:10">
      <c r="J334" t="s">
        <v>205</v>
      </c>
    </row>
    <row r="335" spans="10:10">
      <c r="J335" t="s">
        <v>205</v>
      </c>
    </row>
    <row r="336" spans="10:10">
      <c r="J336" t="s">
        <v>205</v>
      </c>
    </row>
    <row r="337" spans="10:10">
      <c r="J337" t="s">
        <v>205</v>
      </c>
    </row>
    <row r="338" spans="10:10">
      <c r="J338" t="s">
        <v>205</v>
      </c>
    </row>
    <row r="339" spans="10:10">
      <c r="J339" t="s">
        <v>205</v>
      </c>
    </row>
    <row r="340" spans="10:10">
      <c r="J340" t="s">
        <v>205</v>
      </c>
    </row>
    <row r="341" spans="10:10">
      <c r="J341" t="s">
        <v>205</v>
      </c>
    </row>
    <row r="342" spans="10:10">
      <c r="J342" t="s">
        <v>205</v>
      </c>
    </row>
    <row r="343" spans="10:10">
      <c r="J343" t="s">
        <v>205</v>
      </c>
    </row>
    <row r="344" spans="10:10">
      <c r="J344" t="s">
        <v>205</v>
      </c>
    </row>
    <row r="345" spans="10:10">
      <c r="J345" t="s">
        <v>205</v>
      </c>
    </row>
    <row r="346" spans="10:10">
      <c r="J346" t="s">
        <v>205</v>
      </c>
    </row>
    <row r="347" spans="10:10">
      <c r="J347" t="s">
        <v>205</v>
      </c>
    </row>
    <row r="348" spans="10:10">
      <c r="J348" t="s">
        <v>205</v>
      </c>
    </row>
    <row r="349" spans="10:10">
      <c r="J349" t="s">
        <v>205</v>
      </c>
    </row>
    <row r="350" spans="10:10">
      <c r="J350" t="s">
        <v>205</v>
      </c>
    </row>
    <row r="351" spans="10:10">
      <c r="J351" t="s">
        <v>205</v>
      </c>
    </row>
    <row r="352" spans="10:10">
      <c r="J352" t="s">
        <v>205</v>
      </c>
    </row>
    <row r="353" spans="10:10">
      <c r="J353" t="s">
        <v>205</v>
      </c>
    </row>
    <row r="354" spans="10:10">
      <c r="J354" t="s">
        <v>205</v>
      </c>
    </row>
    <row r="355" spans="10:10">
      <c r="J355" t="s">
        <v>205</v>
      </c>
    </row>
    <row r="356" spans="10:10">
      <c r="J356" t="s">
        <v>205</v>
      </c>
    </row>
    <row r="357" spans="10:10">
      <c r="J357" t="s">
        <v>205</v>
      </c>
    </row>
    <row r="358" spans="10:10">
      <c r="J358" t="s">
        <v>205</v>
      </c>
    </row>
    <row r="359" spans="10:10">
      <c r="J359" t="s">
        <v>205</v>
      </c>
    </row>
    <row r="360" spans="10:10">
      <c r="J360" t="s">
        <v>205</v>
      </c>
    </row>
    <row r="361" spans="10:10">
      <c r="J361" t="s">
        <v>205</v>
      </c>
    </row>
    <row r="362" spans="10:10">
      <c r="J362" t="s">
        <v>205</v>
      </c>
    </row>
    <row r="363" spans="10:10">
      <c r="J363" t="s">
        <v>205</v>
      </c>
    </row>
    <row r="364" spans="10:10">
      <c r="J364" t="s">
        <v>205</v>
      </c>
    </row>
    <row r="365" spans="10:10">
      <c r="J365" t="s">
        <v>205</v>
      </c>
    </row>
    <row r="366" spans="10:10">
      <c r="J366" t="s">
        <v>205</v>
      </c>
    </row>
    <row r="367" spans="10:10">
      <c r="J367" t="s">
        <v>205</v>
      </c>
    </row>
    <row r="368" spans="10:10">
      <c r="J368" t="s">
        <v>205</v>
      </c>
    </row>
    <row r="369" spans="10:10">
      <c r="J369" t="s">
        <v>205</v>
      </c>
    </row>
    <row r="370" spans="10:10">
      <c r="J370" t="s">
        <v>205</v>
      </c>
    </row>
    <row r="371" spans="10:10">
      <c r="J371" t="s">
        <v>205</v>
      </c>
    </row>
    <row r="372" spans="10:10">
      <c r="J372" t="s">
        <v>205</v>
      </c>
    </row>
    <row r="373" spans="10:10">
      <c r="J373" t="s">
        <v>205</v>
      </c>
    </row>
    <row r="374" spans="10:10">
      <c r="J374" t="s">
        <v>205</v>
      </c>
    </row>
    <row r="375" spans="10:10">
      <c r="J375" t="s">
        <v>205</v>
      </c>
    </row>
    <row r="376" spans="10:10">
      <c r="J376" t="s">
        <v>205</v>
      </c>
    </row>
    <row r="377" spans="10:10">
      <c r="J377" t="s">
        <v>205</v>
      </c>
    </row>
    <row r="378" spans="10:10">
      <c r="J378" t="s">
        <v>205</v>
      </c>
    </row>
    <row r="379" spans="10:10">
      <c r="J379" t="s">
        <v>205</v>
      </c>
    </row>
    <row r="380" spans="10:10">
      <c r="J380" t="s">
        <v>205</v>
      </c>
    </row>
    <row r="381" spans="10:10">
      <c r="J381" t="s">
        <v>205</v>
      </c>
    </row>
    <row r="382" spans="10:10">
      <c r="J382" t="s">
        <v>205</v>
      </c>
    </row>
    <row r="383" spans="10:10">
      <c r="J383" t="s">
        <v>205</v>
      </c>
    </row>
    <row r="384" spans="10:10">
      <c r="J384" t="s">
        <v>205</v>
      </c>
    </row>
    <row r="385" spans="10:10">
      <c r="J385" t="s">
        <v>205</v>
      </c>
    </row>
    <row r="386" spans="10:10">
      <c r="J386" t="s">
        <v>205</v>
      </c>
    </row>
    <row r="387" spans="10:10">
      <c r="J387" t="s">
        <v>205</v>
      </c>
    </row>
    <row r="388" spans="10:10">
      <c r="J388" t="s">
        <v>205</v>
      </c>
    </row>
    <row r="389" spans="10:10">
      <c r="J389" t="s">
        <v>205</v>
      </c>
    </row>
    <row r="390" spans="10:10">
      <c r="J390" t="s">
        <v>205</v>
      </c>
    </row>
    <row r="391" spans="10:10">
      <c r="J391" t="s">
        <v>205</v>
      </c>
    </row>
    <row r="392" spans="10:10">
      <c r="J392" t="s">
        <v>205</v>
      </c>
    </row>
    <row r="393" spans="10:10">
      <c r="J393" t="s">
        <v>205</v>
      </c>
    </row>
    <row r="394" spans="10:10">
      <c r="J394" t="s">
        <v>205</v>
      </c>
    </row>
    <row r="395" spans="10:10">
      <c r="J395" t="s">
        <v>205</v>
      </c>
    </row>
    <row r="396" spans="10:10">
      <c r="J396" t="s">
        <v>205</v>
      </c>
    </row>
    <row r="397" spans="10:10">
      <c r="J397" t="s">
        <v>205</v>
      </c>
    </row>
    <row r="398" spans="10:10">
      <c r="J398" t="s">
        <v>205</v>
      </c>
    </row>
    <row r="399" spans="10:10">
      <c r="J399" t="s">
        <v>205</v>
      </c>
    </row>
    <row r="400" spans="10:10">
      <c r="J400" t="s">
        <v>205</v>
      </c>
    </row>
    <row r="401" spans="10:10">
      <c r="J401" t="s">
        <v>205</v>
      </c>
    </row>
    <row r="402" spans="10:10">
      <c r="J402" t="s">
        <v>205</v>
      </c>
    </row>
    <row r="403" spans="10:10">
      <c r="J403" t="s">
        <v>205</v>
      </c>
    </row>
    <row r="404" spans="10:10">
      <c r="J404" t="s">
        <v>205</v>
      </c>
    </row>
    <row r="405" spans="10:10">
      <c r="J405" t="s">
        <v>205</v>
      </c>
    </row>
    <row r="406" spans="10:10">
      <c r="J406" t="s">
        <v>205</v>
      </c>
    </row>
    <row r="407" spans="10:10">
      <c r="J407" t="s">
        <v>205</v>
      </c>
    </row>
    <row r="408" spans="10:10">
      <c r="J408" t="s">
        <v>205</v>
      </c>
    </row>
    <row r="409" spans="10:10">
      <c r="J409" t="s">
        <v>205</v>
      </c>
    </row>
    <row r="410" spans="10:10">
      <c r="J410" t="s">
        <v>205</v>
      </c>
    </row>
    <row r="411" spans="10:10">
      <c r="J411" t="s">
        <v>205</v>
      </c>
    </row>
    <row r="412" spans="10:10">
      <c r="J412" t="s">
        <v>205</v>
      </c>
    </row>
    <row r="413" spans="10:10">
      <c r="J413" t="s">
        <v>205</v>
      </c>
    </row>
    <row r="414" spans="10:10">
      <c r="J414" t="s">
        <v>205</v>
      </c>
    </row>
    <row r="415" spans="10:10">
      <c r="J415" t="s">
        <v>205</v>
      </c>
    </row>
    <row r="416" spans="10:10">
      <c r="J416" t="s">
        <v>205</v>
      </c>
    </row>
    <row r="417" spans="10:10">
      <c r="J417" t="s">
        <v>205</v>
      </c>
    </row>
    <row r="418" spans="10:10">
      <c r="J418" t="s">
        <v>205</v>
      </c>
    </row>
    <row r="419" spans="10:10">
      <c r="J419" t="s">
        <v>205</v>
      </c>
    </row>
    <row r="420" spans="10:10">
      <c r="J420" t="s">
        <v>205</v>
      </c>
    </row>
    <row r="421" spans="10:10">
      <c r="J421" t="s">
        <v>205</v>
      </c>
    </row>
    <row r="422" spans="10:10">
      <c r="J422" t="s">
        <v>205</v>
      </c>
    </row>
    <row r="423" spans="10:10">
      <c r="J423" t="s">
        <v>205</v>
      </c>
    </row>
    <row r="424" spans="10:10">
      <c r="J424" t="s">
        <v>205</v>
      </c>
    </row>
    <row r="425" spans="10:10">
      <c r="J425" t="s">
        <v>205</v>
      </c>
    </row>
    <row r="426" spans="10:10">
      <c r="J426" t="s">
        <v>205</v>
      </c>
    </row>
    <row r="427" spans="10:10">
      <c r="J427" t="s">
        <v>205</v>
      </c>
    </row>
    <row r="428" spans="10:10">
      <c r="J428" t="s">
        <v>205</v>
      </c>
    </row>
    <row r="429" spans="10:10">
      <c r="J429" t="s">
        <v>205</v>
      </c>
    </row>
    <row r="430" spans="10:10">
      <c r="J430" t="s">
        <v>205</v>
      </c>
    </row>
    <row r="431" spans="10:10">
      <c r="J431" t="s">
        <v>205</v>
      </c>
    </row>
    <row r="432" spans="10:10">
      <c r="J432" t="s">
        <v>205</v>
      </c>
    </row>
    <row r="433" spans="10:10">
      <c r="J433" t="s">
        <v>205</v>
      </c>
    </row>
    <row r="434" spans="10:10">
      <c r="J434" t="s">
        <v>205</v>
      </c>
    </row>
    <row r="435" spans="10:10">
      <c r="J435" t="s">
        <v>205</v>
      </c>
    </row>
    <row r="436" spans="10:10">
      <c r="J436" t="s">
        <v>205</v>
      </c>
    </row>
    <row r="437" spans="10:10">
      <c r="J437" t="s">
        <v>205</v>
      </c>
    </row>
    <row r="438" spans="10:10">
      <c r="J438" t="s">
        <v>205</v>
      </c>
    </row>
    <row r="439" spans="10:10">
      <c r="J439" t="s">
        <v>205</v>
      </c>
    </row>
    <row r="440" spans="10:10">
      <c r="J440" t="s">
        <v>205</v>
      </c>
    </row>
    <row r="441" spans="10:10">
      <c r="J441" t="s">
        <v>205</v>
      </c>
    </row>
    <row r="442" spans="10:10">
      <c r="J442" t="s">
        <v>205</v>
      </c>
    </row>
    <row r="443" spans="10:10">
      <c r="J443" t="s">
        <v>205</v>
      </c>
    </row>
    <row r="444" spans="10:10">
      <c r="J444" t="s">
        <v>205</v>
      </c>
    </row>
    <row r="445" spans="10:10">
      <c r="J445" t="s">
        <v>205</v>
      </c>
    </row>
    <row r="446" spans="10:10">
      <c r="J446" t="s">
        <v>205</v>
      </c>
    </row>
    <row r="447" spans="10:10">
      <c r="J447" t="s">
        <v>205</v>
      </c>
    </row>
    <row r="448" spans="10:10">
      <c r="J448" t="s">
        <v>205</v>
      </c>
    </row>
    <row r="449" spans="10:10">
      <c r="J449" t="s">
        <v>205</v>
      </c>
    </row>
    <row r="450" spans="10:10">
      <c r="J450" t="s">
        <v>205</v>
      </c>
    </row>
    <row r="451" spans="10:10">
      <c r="J451" t="s">
        <v>205</v>
      </c>
    </row>
    <row r="452" spans="10:10">
      <c r="J452" t="s">
        <v>205</v>
      </c>
    </row>
    <row r="453" spans="10:10">
      <c r="J453" t="s">
        <v>205</v>
      </c>
    </row>
    <row r="454" spans="10:10">
      <c r="J454" t="s">
        <v>205</v>
      </c>
    </row>
    <row r="455" spans="10:10">
      <c r="J455" t="s">
        <v>205</v>
      </c>
    </row>
    <row r="456" spans="10:10">
      <c r="J456" t="s">
        <v>205</v>
      </c>
    </row>
    <row r="457" spans="10:10">
      <c r="J457" t="s">
        <v>205</v>
      </c>
    </row>
    <row r="458" spans="10:10">
      <c r="J458" t="s">
        <v>205</v>
      </c>
    </row>
    <row r="459" spans="10:10">
      <c r="J459" t="s">
        <v>205</v>
      </c>
    </row>
    <row r="460" spans="10:10">
      <c r="J460" t="s">
        <v>205</v>
      </c>
    </row>
    <row r="461" spans="10:10">
      <c r="J461" t="s">
        <v>205</v>
      </c>
    </row>
    <row r="462" spans="10:10">
      <c r="J462" t="s">
        <v>205</v>
      </c>
    </row>
    <row r="463" spans="10:10">
      <c r="J463" t="s">
        <v>205</v>
      </c>
    </row>
    <row r="464" spans="10:10">
      <c r="J464" t="s">
        <v>205</v>
      </c>
    </row>
    <row r="465" spans="10:10">
      <c r="J465" t="s">
        <v>205</v>
      </c>
    </row>
    <row r="466" spans="10:10">
      <c r="J466" t="s">
        <v>205</v>
      </c>
    </row>
    <row r="467" spans="10:10">
      <c r="J467" t="s">
        <v>205</v>
      </c>
    </row>
    <row r="468" spans="10:10">
      <c r="J468" t="s">
        <v>205</v>
      </c>
    </row>
    <row r="469" spans="10:10">
      <c r="J469" t="s">
        <v>205</v>
      </c>
    </row>
    <row r="470" spans="10:10">
      <c r="J470" t="s">
        <v>205</v>
      </c>
    </row>
    <row r="471" spans="10:10">
      <c r="J471" t="s">
        <v>205</v>
      </c>
    </row>
    <row r="472" spans="10:10">
      <c r="J472" t="s">
        <v>205</v>
      </c>
    </row>
    <row r="473" spans="10:10">
      <c r="J473" t="s">
        <v>205</v>
      </c>
    </row>
    <row r="474" spans="10:10">
      <c r="J474" t="s">
        <v>205</v>
      </c>
    </row>
    <row r="475" spans="10:10">
      <c r="J475" t="s">
        <v>205</v>
      </c>
    </row>
    <row r="476" spans="10:10">
      <c r="J476" t="s">
        <v>205</v>
      </c>
    </row>
    <row r="477" spans="10:10">
      <c r="J477" t="s">
        <v>205</v>
      </c>
    </row>
    <row r="478" spans="10:10">
      <c r="J478" t="s">
        <v>205</v>
      </c>
    </row>
    <row r="479" spans="10:10">
      <c r="J479" t="s">
        <v>205</v>
      </c>
    </row>
    <row r="480" spans="10:10">
      <c r="J480" t="s">
        <v>205</v>
      </c>
    </row>
    <row r="481" spans="10:10">
      <c r="J481" t="s">
        <v>205</v>
      </c>
    </row>
    <row r="482" spans="10:10">
      <c r="J482" t="s">
        <v>205</v>
      </c>
    </row>
    <row r="483" spans="10:10">
      <c r="J483" t="s">
        <v>205</v>
      </c>
    </row>
    <row r="484" spans="10:10">
      <c r="J484" t="s">
        <v>205</v>
      </c>
    </row>
    <row r="485" spans="10:10">
      <c r="J485" t="s">
        <v>205</v>
      </c>
    </row>
    <row r="486" spans="10:10">
      <c r="J486" t="s">
        <v>205</v>
      </c>
    </row>
    <row r="487" spans="10:10">
      <c r="J487" t="s">
        <v>205</v>
      </c>
    </row>
    <row r="488" spans="10:10">
      <c r="J488" t="s">
        <v>205</v>
      </c>
    </row>
    <row r="489" spans="10:10">
      <c r="J489" t="s">
        <v>205</v>
      </c>
    </row>
    <row r="490" spans="10:10">
      <c r="J490" t="s">
        <v>205</v>
      </c>
    </row>
    <row r="491" spans="10:10">
      <c r="J491" t="s">
        <v>205</v>
      </c>
    </row>
    <row r="492" spans="10:10">
      <c r="J492" t="s">
        <v>205</v>
      </c>
    </row>
    <row r="493" spans="10:10">
      <c r="J493" t="s">
        <v>205</v>
      </c>
    </row>
    <row r="494" spans="10:10">
      <c r="J494" t="s">
        <v>205</v>
      </c>
    </row>
    <row r="495" spans="10:10">
      <c r="J495" t="s">
        <v>205</v>
      </c>
    </row>
    <row r="496" spans="10:10">
      <c r="J496" t="s">
        <v>205</v>
      </c>
    </row>
    <row r="497" spans="10:10">
      <c r="J497" t="s">
        <v>205</v>
      </c>
    </row>
    <row r="498" spans="10:10">
      <c r="J498" t="s">
        <v>205</v>
      </c>
    </row>
    <row r="499" spans="10:10">
      <c r="J499" t="s">
        <v>205</v>
      </c>
    </row>
    <row r="500" spans="10:10">
      <c r="J500" t="s">
        <v>205</v>
      </c>
    </row>
    <row r="501" spans="10:10">
      <c r="J501" t="s">
        <v>205</v>
      </c>
    </row>
    <row r="502" spans="10:10">
      <c r="J502" t="s">
        <v>205</v>
      </c>
    </row>
    <row r="503" spans="10:10">
      <c r="J503" t="s">
        <v>205</v>
      </c>
    </row>
    <row r="504" spans="10:10">
      <c r="J504" t="s">
        <v>205</v>
      </c>
    </row>
    <row r="505" spans="10:10">
      <c r="J505" t="s">
        <v>205</v>
      </c>
    </row>
    <row r="506" spans="10:10">
      <c r="J506" t="s">
        <v>205</v>
      </c>
    </row>
    <row r="507" spans="10:10">
      <c r="J507" t="s">
        <v>205</v>
      </c>
    </row>
    <row r="508" spans="10:10">
      <c r="J508" t="s">
        <v>205</v>
      </c>
    </row>
    <row r="509" spans="10:10">
      <c r="J509" t="s">
        <v>205</v>
      </c>
    </row>
    <row r="510" spans="10:10">
      <c r="J510" t="s">
        <v>205</v>
      </c>
    </row>
    <row r="511" spans="10:10">
      <c r="J511" t="s">
        <v>205</v>
      </c>
    </row>
    <row r="512" spans="10:10">
      <c r="J512" t="s">
        <v>205</v>
      </c>
    </row>
    <row r="513" spans="10:10">
      <c r="J513" t="s">
        <v>205</v>
      </c>
    </row>
    <row r="514" spans="10:10">
      <c r="J514" t="s">
        <v>205</v>
      </c>
    </row>
    <row r="515" spans="10:10">
      <c r="J515" t="s">
        <v>205</v>
      </c>
    </row>
    <row r="516" spans="10:10">
      <c r="J516" t="s">
        <v>205</v>
      </c>
    </row>
    <row r="517" spans="10:10">
      <c r="J517" t="s">
        <v>205</v>
      </c>
    </row>
    <row r="518" spans="10:10">
      <c r="J518" t="s">
        <v>205</v>
      </c>
    </row>
    <row r="519" spans="10:10">
      <c r="J519" t="s">
        <v>205</v>
      </c>
    </row>
    <row r="520" spans="10:10">
      <c r="J520" t="s">
        <v>205</v>
      </c>
    </row>
    <row r="521" spans="10:10">
      <c r="J521" t="s">
        <v>205</v>
      </c>
    </row>
    <row r="522" spans="10:10">
      <c r="J522" t="s">
        <v>205</v>
      </c>
    </row>
    <row r="523" spans="10:10">
      <c r="J523" t="s">
        <v>205</v>
      </c>
    </row>
    <row r="524" spans="10:10">
      <c r="J524" t="s">
        <v>205</v>
      </c>
    </row>
    <row r="525" spans="10:10">
      <c r="J525" t="s">
        <v>205</v>
      </c>
    </row>
    <row r="526" spans="10:10">
      <c r="J526" t="s">
        <v>205</v>
      </c>
    </row>
    <row r="527" spans="10:10">
      <c r="J527" t="s">
        <v>205</v>
      </c>
    </row>
    <row r="528" spans="10:10">
      <c r="J528" t="s">
        <v>205</v>
      </c>
    </row>
    <row r="529" spans="10:10">
      <c r="J529" t="s">
        <v>205</v>
      </c>
    </row>
    <row r="530" spans="10:10">
      <c r="J530" t="s">
        <v>205</v>
      </c>
    </row>
    <row r="531" spans="10:10">
      <c r="J531" t="s">
        <v>205</v>
      </c>
    </row>
    <row r="532" spans="10:10">
      <c r="J532" t="s">
        <v>205</v>
      </c>
    </row>
    <row r="533" spans="10:10">
      <c r="J533" t="s">
        <v>205</v>
      </c>
    </row>
    <row r="534" spans="10:10">
      <c r="J534" t="s">
        <v>205</v>
      </c>
    </row>
    <row r="535" spans="10:10">
      <c r="J535" t="s">
        <v>205</v>
      </c>
    </row>
    <row r="536" spans="10:10">
      <c r="J536" t="s">
        <v>205</v>
      </c>
    </row>
    <row r="537" spans="10:10">
      <c r="J537" t="s">
        <v>205</v>
      </c>
    </row>
    <row r="538" spans="10:10">
      <c r="J538" t="s">
        <v>205</v>
      </c>
    </row>
    <row r="539" spans="10:10">
      <c r="J539" t="s">
        <v>205</v>
      </c>
    </row>
    <row r="540" spans="10:10">
      <c r="J540" t="s">
        <v>205</v>
      </c>
    </row>
    <row r="541" spans="10:10">
      <c r="J541" t="s">
        <v>205</v>
      </c>
    </row>
    <row r="542" spans="10:10">
      <c r="J542" t="s">
        <v>205</v>
      </c>
    </row>
    <row r="543" spans="10:10">
      <c r="J543" t="s">
        <v>205</v>
      </c>
    </row>
    <row r="544" spans="10:10">
      <c r="J544" t="s">
        <v>205</v>
      </c>
    </row>
    <row r="545" spans="10:10">
      <c r="J545" t="s">
        <v>205</v>
      </c>
    </row>
    <row r="546" spans="10:10">
      <c r="J546" t="s">
        <v>205</v>
      </c>
    </row>
    <row r="547" spans="10:10">
      <c r="J547" t="s">
        <v>205</v>
      </c>
    </row>
    <row r="548" spans="10:10">
      <c r="J548" t="s">
        <v>205</v>
      </c>
    </row>
    <row r="549" spans="10:10">
      <c r="J549" t="s">
        <v>205</v>
      </c>
    </row>
    <row r="550" spans="10:10">
      <c r="J550" t="s">
        <v>205</v>
      </c>
    </row>
    <row r="551" spans="10:10">
      <c r="J551" t="s">
        <v>205</v>
      </c>
    </row>
    <row r="552" spans="10:10">
      <c r="J552" t="s">
        <v>205</v>
      </c>
    </row>
    <row r="553" spans="10:10">
      <c r="J553" t="s">
        <v>205</v>
      </c>
    </row>
    <row r="554" spans="10:10">
      <c r="J554" t="s">
        <v>205</v>
      </c>
    </row>
    <row r="555" spans="10:10">
      <c r="J555" t="s">
        <v>205</v>
      </c>
    </row>
    <row r="556" spans="10:10">
      <c r="J556" t="s">
        <v>205</v>
      </c>
    </row>
    <row r="557" spans="10:10">
      <c r="J557" t="s">
        <v>205</v>
      </c>
    </row>
    <row r="558" spans="10:10">
      <c r="J558" t="s">
        <v>205</v>
      </c>
    </row>
    <row r="559" spans="10:10">
      <c r="J559" t="s">
        <v>205</v>
      </c>
    </row>
    <row r="560" spans="10:10">
      <c r="J560" t="s">
        <v>205</v>
      </c>
    </row>
    <row r="561" spans="10:10">
      <c r="J561" t="s">
        <v>205</v>
      </c>
    </row>
    <row r="562" spans="10:10">
      <c r="J562" t="s">
        <v>205</v>
      </c>
    </row>
    <row r="563" spans="10:10">
      <c r="J563" t="s">
        <v>205</v>
      </c>
    </row>
    <row r="564" spans="10:10">
      <c r="J564" t="s">
        <v>205</v>
      </c>
    </row>
    <row r="565" spans="10:10">
      <c r="J565" t="s">
        <v>205</v>
      </c>
    </row>
    <row r="566" spans="10:10">
      <c r="J566" t="s">
        <v>205</v>
      </c>
    </row>
    <row r="567" spans="10:10">
      <c r="J567" t="s">
        <v>205</v>
      </c>
    </row>
    <row r="568" spans="10:10">
      <c r="J568" t="s">
        <v>205</v>
      </c>
    </row>
    <row r="569" spans="10:10">
      <c r="J569" t="s">
        <v>205</v>
      </c>
    </row>
    <row r="570" spans="10:10">
      <c r="J570" t="s">
        <v>205</v>
      </c>
    </row>
    <row r="571" spans="10:10">
      <c r="J571" t="s">
        <v>205</v>
      </c>
    </row>
    <row r="572" spans="10:10">
      <c r="J572" t="s">
        <v>205</v>
      </c>
    </row>
    <row r="573" spans="10:10">
      <c r="J573" t="s">
        <v>205</v>
      </c>
    </row>
    <row r="574" spans="10:10">
      <c r="J574" t="s">
        <v>205</v>
      </c>
    </row>
    <row r="575" spans="10:10">
      <c r="J575" t="s">
        <v>205</v>
      </c>
    </row>
    <row r="576" spans="10:10">
      <c r="J576" t="s">
        <v>205</v>
      </c>
    </row>
    <row r="577" spans="10:10">
      <c r="J577" t="s">
        <v>205</v>
      </c>
    </row>
    <row r="578" spans="10:10">
      <c r="J578" t="s">
        <v>205</v>
      </c>
    </row>
    <row r="579" spans="10:10">
      <c r="J579" t="s">
        <v>205</v>
      </c>
    </row>
    <row r="580" spans="10:10">
      <c r="J580" t="s">
        <v>205</v>
      </c>
    </row>
    <row r="581" spans="10:10">
      <c r="J581" t="s">
        <v>205</v>
      </c>
    </row>
    <row r="582" spans="10:10">
      <c r="J582" t="s">
        <v>205</v>
      </c>
    </row>
    <row r="583" spans="10:10">
      <c r="J583" t="s">
        <v>205</v>
      </c>
    </row>
    <row r="584" spans="10:10">
      <c r="J584" t="s">
        <v>205</v>
      </c>
    </row>
    <row r="585" spans="10:10">
      <c r="J585" t="s">
        <v>205</v>
      </c>
    </row>
    <row r="586" spans="10:10">
      <c r="J586" t="s">
        <v>205</v>
      </c>
    </row>
    <row r="587" spans="10:10">
      <c r="J587" t="s">
        <v>205</v>
      </c>
    </row>
    <row r="588" spans="10:10">
      <c r="J588" t="s">
        <v>205</v>
      </c>
    </row>
    <row r="589" spans="10:10">
      <c r="J589" t="s">
        <v>205</v>
      </c>
    </row>
    <row r="590" spans="10:10">
      <c r="J590" t="s">
        <v>205</v>
      </c>
    </row>
    <row r="591" spans="10:10">
      <c r="J591" t="s">
        <v>205</v>
      </c>
    </row>
    <row r="592" spans="10:10">
      <c r="J592" t="s">
        <v>205</v>
      </c>
    </row>
    <row r="593" spans="10:10">
      <c r="J593" t="s">
        <v>205</v>
      </c>
    </row>
    <row r="594" spans="10:10">
      <c r="J594" t="s">
        <v>205</v>
      </c>
    </row>
    <row r="595" spans="10:10">
      <c r="J595" t="s">
        <v>205</v>
      </c>
    </row>
    <row r="596" spans="10:10">
      <c r="J596" t="s">
        <v>205</v>
      </c>
    </row>
    <row r="597" spans="10:10">
      <c r="J597" t="s">
        <v>205</v>
      </c>
    </row>
    <row r="598" spans="10:10">
      <c r="J598" t="s">
        <v>205</v>
      </c>
    </row>
    <row r="599" spans="10:10">
      <c r="J599" t="s">
        <v>205</v>
      </c>
    </row>
    <row r="600" spans="10:10">
      <c r="J600" t="s">
        <v>205</v>
      </c>
    </row>
    <row r="601" spans="10:10">
      <c r="J601" t="s">
        <v>205</v>
      </c>
    </row>
    <row r="602" spans="10:10">
      <c r="J602" t="s">
        <v>205</v>
      </c>
    </row>
    <row r="603" spans="10:10">
      <c r="J603" t="s">
        <v>205</v>
      </c>
    </row>
    <row r="604" spans="10:10">
      <c r="J604" t="s">
        <v>205</v>
      </c>
    </row>
    <row r="605" spans="10:10">
      <c r="J605" t="s">
        <v>205</v>
      </c>
    </row>
    <row r="606" spans="10:10">
      <c r="J606" t="s">
        <v>205</v>
      </c>
    </row>
    <row r="607" spans="10:10">
      <c r="J607" t="s">
        <v>205</v>
      </c>
    </row>
    <row r="608" spans="10:10">
      <c r="J608" t="s">
        <v>205</v>
      </c>
    </row>
    <row r="609" spans="10:10">
      <c r="J609" t="s">
        <v>205</v>
      </c>
    </row>
    <row r="610" spans="10:10">
      <c r="J610" t="s">
        <v>205</v>
      </c>
    </row>
    <row r="611" spans="10:10">
      <c r="J611" t="s">
        <v>205</v>
      </c>
    </row>
    <row r="612" spans="10:10">
      <c r="J612" t="s">
        <v>205</v>
      </c>
    </row>
    <row r="613" spans="10:10">
      <c r="J613" t="s">
        <v>205</v>
      </c>
    </row>
    <row r="614" spans="10:10">
      <c r="J614" t="s">
        <v>205</v>
      </c>
    </row>
    <row r="615" spans="10:10">
      <c r="J615" t="s">
        <v>205</v>
      </c>
    </row>
    <row r="616" spans="10:10">
      <c r="J616" t="s">
        <v>205</v>
      </c>
    </row>
    <row r="617" spans="10:10">
      <c r="J617" t="s">
        <v>205</v>
      </c>
    </row>
    <row r="618" spans="10:10">
      <c r="J618" t="s">
        <v>205</v>
      </c>
    </row>
    <row r="619" spans="10:10">
      <c r="J619" t="s">
        <v>205</v>
      </c>
    </row>
    <row r="620" spans="10:10">
      <c r="J620" t="s">
        <v>205</v>
      </c>
    </row>
    <row r="621" spans="10:10">
      <c r="J621" t="s">
        <v>205</v>
      </c>
    </row>
    <row r="622" spans="10:10">
      <c r="J622" t="s">
        <v>205</v>
      </c>
    </row>
    <row r="623" spans="10:10">
      <c r="J623" t="s">
        <v>205</v>
      </c>
    </row>
    <row r="624" spans="10:10">
      <c r="J624" t="s">
        <v>205</v>
      </c>
    </row>
    <row r="625" spans="10:10">
      <c r="J625" t="s">
        <v>205</v>
      </c>
    </row>
    <row r="626" spans="10:10">
      <c r="J626" t="s">
        <v>205</v>
      </c>
    </row>
    <row r="627" spans="10:10">
      <c r="J627" t="s">
        <v>205</v>
      </c>
    </row>
    <row r="628" spans="10:10">
      <c r="J628" t="s">
        <v>205</v>
      </c>
    </row>
    <row r="629" spans="10:10">
      <c r="J629" t="s">
        <v>205</v>
      </c>
    </row>
    <row r="630" spans="10:10">
      <c r="J630" t="s">
        <v>205</v>
      </c>
    </row>
    <row r="631" spans="10:10">
      <c r="J631" t="s">
        <v>205</v>
      </c>
    </row>
    <row r="632" spans="10:10">
      <c r="J632" t="s">
        <v>205</v>
      </c>
    </row>
    <row r="633" spans="10:10">
      <c r="J633" t="s">
        <v>205</v>
      </c>
    </row>
    <row r="634" spans="10:10">
      <c r="J634" t="s">
        <v>205</v>
      </c>
    </row>
    <row r="635" spans="10:10">
      <c r="J635" t="s">
        <v>205</v>
      </c>
    </row>
    <row r="636" spans="10:10">
      <c r="J636" t="s">
        <v>205</v>
      </c>
    </row>
    <row r="637" spans="10:10">
      <c r="J637" t="s">
        <v>205</v>
      </c>
    </row>
    <row r="638" spans="10:10">
      <c r="J638" t="s">
        <v>205</v>
      </c>
    </row>
    <row r="639" spans="10:10">
      <c r="J639" t="s">
        <v>205</v>
      </c>
    </row>
    <row r="640" spans="10:10">
      <c r="J640" t="s">
        <v>205</v>
      </c>
    </row>
    <row r="641" spans="10:10">
      <c r="J641" t="s">
        <v>205</v>
      </c>
    </row>
    <row r="642" spans="10:10">
      <c r="J642" t="s">
        <v>205</v>
      </c>
    </row>
    <row r="643" spans="10:10">
      <c r="J643" t="s">
        <v>205</v>
      </c>
    </row>
    <row r="644" spans="10:10">
      <c r="J644" t="s">
        <v>205</v>
      </c>
    </row>
    <row r="645" spans="10:10">
      <c r="J645" t="s">
        <v>205</v>
      </c>
    </row>
    <row r="646" spans="10:10">
      <c r="J646" t="s">
        <v>205</v>
      </c>
    </row>
    <row r="647" spans="10:10">
      <c r="J647" t="s">
        <v>205</v>
      </c>
    </row>
    <row r="648" spans="10:10">
      <c r="J648" t="s">
        <v>205</v>
      </c>
    </row>
    <row r="649" spans="10:10">
      <c r="J649" t="s">
        <v>205</v>
      </c>
    </row>
    <row r="650" spans="10:10">
      <c r="J650" t="s">
        <v>205</v>
      </c>
    </row>
    <row r="651" spans="10:10">
      <c r="J651" t="s">
        <v>205</v>
      </c>
    </row>
    <row r="652" spans="10:10">
      <c r="J652" t="s">
        <v>205</v>
      </c>
    </row>
    <row r="653" spans="10:10">
      <c r="J653" t="s">
        <v>205</v>
      </c>
    </row>
    <row r="654" spans="10:10">
      <c r="J654" t="s">
        <v>205</v>
      </c>
    </row>
    <row r="655" spans="10:10">
      <c r="J655" t="s">
        <v>205</v>
      </c>
    </row>
    <row r="656" spans="10:10">
      <c r="J656" t="s">
        <v>205</v>
      </c>
    </row>
    <row r="657" spans="10:10">
      <c r="J657" t="s">
        <v>205</v>
      </c>
    </row>
    <row r="658" spans="10:10">
      <c r="J658" t="s">
        <v>205</v>
      </c>
    </row>
    <row r="659" spans="10:10">
      <c r="J659" t="s">
        <v>205</v>
      </c>
    </row>
    <row r="660" spans="10:10">
      <c r="J660" t="s">
        <v>205</v>
      </c>
    </row>
    <row r="661" spans="10:10">
      <c r="J661" t="s">
        <v>205</v>
      </c>
    </row>
    <row r="662" spans="10:10">
      <c r="J662" t="s">
        <v>205</v>
      </c>
    </row>
    <row r="663" spans="10:10">
      <c r="J663" t="s">
        <v>205</v>
      </c>
    </row>
    <row r="664" spans="10:10">
      <c r="J664" t="s">
        <v>205</v>
      </c>
    </row>
    <row r="665" spans="10:10">
      <c r="J665" t="s">
        <v>205</v>
      </c>
    </row>
    <row r="666" spans="10:10">
      <c r="J666" t="s">
        <v>205</v>
      </c>
    </row>
    <row r="667" spans="10:10">
      <c r="J667" t="s">
        <v>205</v>
      </c>
    </row>
    <row r="668" spans="10:10">
      <c r="J668" t="s">
        <v>205</v>
      </c>
    </row>
    <row r="669" spans="10:10">
      <c r="J669" t="s">
        <v>205</v>
      </c>
    </row>
    <row r="670" spans="10:10">
      <c r="J670" t="s">
        <v>205</v>
      </c>
    </row>
    <row r="671" spans="10:10">
      <c r="J671" t="s">
        <v>205</v>
      </c>
    </row>
    <row r="672" spans="10:10">
      <c r="J672" t="s">
        <v>205</v>
      </c>
    </row>
    <row r="673" spans="10:10">
      <c r="J673" t="s">
        <v>205</v>
      </c>
    </row>
    <row r="674" spans="10:10">
      <c r="J674" t="s">
        <v>205</v>
      </c>
    </row>
    <row r="675" spans="10:10">
      <c r="J675" t="s">
        <v>205</v>
      </c>
    </row>
    <row r="676" spans="10:10">
      <c r="J676" t="s">
        <v>205</v>
      </c>
    </row>
    <row r="677" spans="10:10">
      <c r="J677" t="s">
        <v>205</v>
      </c>
    </row>
    <row r="678" spans="10:10">
      <c r="J678" t="s">
        <v>205</v>
      </c>
    </row>
    <row r="679" spans="10:10">
      <c r="J679" t="s">
        <v>205</v>
      </c>
    </row>
    <row r="680" spans="10:10">
      <c r="J680" t="s">
        <v>205</v>
      </c>
    </row>
    <row r="681" spans="10:10">
      <c r="J681" t="s">
        <v>205</v>
      </c>
    </row>
    <row r="682" spans="10:10">
      <c r="J682" t="s">
        <v>205</v>
      </c>
    </row>
    <row r="683" spans="10:10">
      <c r="J683" t="s">
        <v>205</v>
      </c>
    </row>
    <row r="684" spans="10:10">
      <c r="J684" t="s">
        <v>205</v>
      </c>
    </row>
    <row r="685" spans="10:10">
      <c r="J685" t="s">
        <v>205</v>
      </c>
    </row>
    <row r="686" spans="10:10">
      <c r="J686" t="s">
        <v>205</v>
      </c>
    </row>
    <row r="687" spans="10:10">
      <c r="J687" t="s">
        <v>205</v>
      </c>
    </row>
    <row r="688" spans="10:10">
      <c r="J688" t="s">
        <v>205</v>
      </c>
    </row>
    <row r="689" spans="10:10">
      <c r="J689" t="s">
        <v>205</v>
      </c>
    </row>
    <row r="690" spans="10:10">
      <c r="J690" t="s">
        <v>205</v>
      </c>
    </row>
    <row r="691" spans="10:10">
      <c r="J691" t="s">
        <v>205</v>
      </c>
    </row>
    <row r="692" spans="10:10">
      <c r="J692" t="s">
        <v>205</v>
      </c>
    </row>
    <row r="693" spans="10:10">
      <c r="J693" t="s">
        <v>205</v>
      </c>
    </row>
    <row r="694" spans="10:10">
      <c r="J694" t="s">
        <v>205</v>
      </c>
    </row>
    <row r="695" spans="10:10">
      <c r="J695" t="s">
        <v>205</v>
      </c>
    </row>
    <row r="696" spans="10:10">
      <c r="J696" t="s">
        <v>205</v>
      </c>
    </row>
    <row r="697" spans="10:10">
      <c r="J697" t="s">
        <v>205</v>
      </c>
    </row>
    <row r="698" spans="10:10">
      <c r="J698" t="s">
        <v>205</v>
      </c>
    </row>
    <row r="699" spans="10:10">
      <c r="J699" t="s">
        <v>205</v>
      </c>
    </row>
    <row r="700" spans="10:10">
      <c r="J700" t="s">
        <v>205</v>
      </c>
    </row>
    <row r="701" spans="10:10">
      <c r="J701" t="s">
        <v>205</v>
      </c>
    </row>
    <row r="702" spans="10:10">
      <c r="J702" t="s">
        <v>205</v>
      </c>
    </row>
    <row r="703" spans="10:10">
      <c r="J703" t="s">
        <v>205</v>
      </c>
    </row>
    <row r="704" spans="10:10">
      <c r="J704" t="s">
        <v>205</v>
      </c>
    </row>
    <row r="705" spans="10:10">
      <c r="J705" t="s">
        <v>205</v>
      </c>
    </row>
    <row r="706" spans="10:10">
      <c r="J706" t="s">
        <v>205</v>
      </c>
    </row>
    <row r="707" spans="10:10">
      <c r="J707" t="s">
        <v>205</v>
      </c>
    </row>
    <row r="708" spans="10:10">
      <c r="J708" t="s">
        <v>205</v>
      </c>
    </row>
    <row r="709" spans="10:10">
      <c r="J709" t="s">
        <v>205</v>
      </c>
    </row>
    <row r="710" spans="10:10">
      <c r="J710" t="s">
        <v>205</v>
      </c>
    </row>
    <row r="711" spans="10:10">
      <c r="J711" t="s">
        <v>205</v>
      </c>
    </row>
    <row r="712" spans="10:10">
      <c r="J712" t="s">
        <v>205</v>
      </c>
    </row>
    <row r="713" spans="10:10">
      <c r="J713" t="s">
        <v>205</v>
      </c>
    </row>
    <row r="714" spans="10:10">
      <c r="J714" t="s">
        <v>205</v>
      </c>
    </row>
    <row r="715" spans="10:10">
      <c r="J715" t="s">
        <v>205</v>
      </c>
    </row>
    <row r="716" spans="10:10">
      <c r="J716" t="s">
        <v>205</v>
      </c>
    </row>
    <row r="717" spans="10:10">
      <c r="J717" t="s">
        <v>205</v>
      </c>
    </row>
    <row r="718" spans="10:10">
      <c r="J718" t="s">
        <v>205</v>
      </c>
    </row>
    <row r="719" spans="10:10">
      <c r="J719" t="s">
        <v>205</v>
      </c>
    </row>
    <row r="720" spans="10:10">
      <c r="J720" t="s">
        <v>205</v>
      </c>
    </row>
    <row r="721" spans="10:10">
      <c r="J721" t="s">
        <v>205</v>
      </c>
    </row>
    <row r="722" spans="10:10">
      <c r="J722" t="s">
        <v>205</v>
      </c>
    </row>
    <row r="723" spans="10:10">
      <c r="J723" t="s">
        <v>205</v>
      </c>
    </row>
    <row r="724" spans="10:10">
      <c r="J724" t="s">
        <v>205</v>
      </c>
    </row>
    <row r="725" spans="10:10">
      <c r="J725" t="s">
        <v>205</v>
      </c>
    </row>
    <row r="726" spans="10:10">
      <c r="J726" t="s">
        <v>205</v>
      </c>
    </row>
    <row r="727" spans="10:10">
      <c r="J727" t="s">
        <v>205</v>
      </c>
    </row>
    <row r="728" spans="10:10">
      <c r="J728" t="s">
        <v>205</v>
      </c>
    </row>
    <row r="729" spans="10:10">
      <c r="J729" t="s">
        <v>205</v>
      </c>
    </row>
    <row r="730" spans="10:10">
      <c r="J730" t="s">
        <v>205</v>
      </c>
    </row>
    <row r="731" spans="10:10">
      <c r="J731" t="s">
        <v>205</v>
      </c>
    </row>
    <row r="732" spans="10:10">
      <c r="J732" t="s">
        <v>205</v>
      </c>
    </row>
    <row r="733" spans="10:10">
      <c r="J733" t="s">
        <v>205</v>
      </c>
    </row>
    <row r="734" spans="10:10">
      <c r="J734" t="s">
        <v>205</v>
      </c>
    </row>
    <row r="735" spans="10:10">
      <c r="J735" t="s">
        <v>205</v>
      </c>
    </row>
    <row r="736" spans="10:10">
      <c r="J736" t="s">
        <v>205</v>
      </c>
    </row>
    <row r="737" spans="10:10">
      <c r="J737" t="s">
        <v>205</v>
      </c>
    </row>
    <row r="738" spans="10:10">
      <c r="J738" t="s">
        <v>205</v>
      </c>
    </row>
    <row r="739" spans="10:10">
      <c r="J739" t="s">
        <v>205</v>
      </c>
    </row>
    <row r="740" spans="10:10">
      <c r="J740" t="s">
        <v>205</v>
      </c>
    </row>
    <row r="741" spans="10:10">
      <c r="J741" t="s">
        <v>205</v>
      </c>
    </row>
    <row r="742" spans="10:10">
      <c r="J742" t="s">
        <v>205</v>
      </c>
    </row>
    <row r="743" spans="10:10">
      <c r="J743" t="s">
        <v>205</v>
      </c>
    </row>
    <row r="744" spans="10:10">
      <c r="J744" t="s">
        <v>205</v>
      </c>
    </row>
    <row r="745" spans="10:10">
      <c r="J745" t="s">
        <v>205</v>
      </c>
    </row>
    <row r="746" spans="10:10">
      <c r="J746" t="s">
        <v>205</v>
      </c>
    </row>
    <row r="747" spans="10:10">
      <c r="J747" t="s">
        <v>205</v>
      </c>
    </row>
    <row r="748" spans="10:10">
      <c r="J748" t="s">
        <v>205</v>
      </c>
    </row>
    <row r="749" spans="10:10">
      <c r="J749" t="s">
        <v>205</v>
      </c>
    </row>
    <row r="750" spans="10:10">
      <c r="J750" t="s">
        <v>205</v>
      </c>
    </row>
    <row r="751" spans="10:10">
      <c r="J751" t="s">
        <v>205</v>
      </c>
    </row>
    <row r="752" spans="10:10">
      <c r="J752" t="s">
        <v>205</v>
      </c>
    </row>
    <row r="753" spans="10:10">
      <c r="J753" t="s">
        <v>205</v>
      </c>
    </row>
    <row r="754" spans="10:10">
      <c r="J754" t="s">
        <v>205</v>
      </c>
    </row>
    <row r="755" spans="10:10">
      <c r="J755" t="s">
        <v>205</v>
      </c>
    </row>
    <row r="756" spans="10:10">
      <c r="J756" t="s">
        <v>205</v>
      </c>
    </row>
    <row r="757" spans="10:10">
      <c r="J757" t="s">
        <v>205</v>
      </c>
    </row>
    <row r="758" spans="10:10">
      <c r="J758" t="s">
        <v>205</v>
      </c>
    </row>
    <row r="759" spans="10:10">
      <c r="J759" t="s">
        <v>205</v>
      </c>
    </row>
    <row r="760" spans="10:10">
      <c r="J760" t="s">
        <v>205</v>
      </c>
    </row>
    <row r="761" spans="10:10">
      <c r="J761" t="s">
        <v>205</v>
      </c>
    </row>
    <row r="762" spans="10:10">
      <c r="J762" t="s">
        <v>205</v>
      </c>
    </row>
    <row r="763" spans="10:10">
      <c r="J763" t="s">
        <v>205</v>
      </c>
    </row>
    <row r="764" spans="10:10">
      <c r="J764" t="s">
        <v>205</v>
      </c>
    </row>
    <row r="765" spans="10:10">
      <c r="J765" t="s">
        <v>205</v>
      </c>
    </row>
    <row r="766" spans="10:10">
      <c r="J766" t="s">
        <v>205</v>
      </c>
    </row>
    <row r="767" spans="10:10">
      <c r="J767" t="s">
        <v>205</v>
      </c>
    </row>
    <row r="768" spans="10:10">
      <c r="J768" t="s">
        <v>205</v>
      </c>
    </row>
    <row r="769" spans="10:10">
      <c r="J769" t="s">
        <v>205</v>
      </c>
    </row>
    <row r="770" spans="10:10">
      <c r="J770" t="s">
        <v>205</v>
      </c>
    </row>
    <row r="771" spans="10:10">
      <c r="J771" t="s">
        <v>205</v>
      </c>
    </row>
    <row r="772" spans="10:10">
      <c r="J772" t="s">
        <v>205</v>
      </c>
    </row>
    <row r="773" spans="10:10">
      <c r="J773" t="s">
        <v>205</v>
      </c>
    </row>
    <row r="774" spans="10:10">
      <c r="J774" t="s">
        <v>205</v>
      </c>
    </row>
    <row r="775" spans="10:10">
      <c r="J775" t="s">
        <v>205</v>
      </c>
    </row>
    <row r="776" spans="10:10">
      <c r="J776" t="s">
        <v>205</v>
      </c>
    </row>
    <row r="777" spans="10:10">
      <c r="J777" t="s">
        <v>205</v>
      </c>
    </row>
    <row r="778" spans="10:10">
      <c r="J778" t="s">
        <v>205</v>
      </c>
    </row>
    <row r="779" spans="10:10">
      <c r="J779" t="s">
        <v>205</v>
      </c>
    </row>
    <row r="780" spans="10:10">
      <c r="J780" t="s">
        <v>205</v>
      </c>
    </row>
    <row r="781" spans="10:10">
      <c r="J781" t="s">
        <v>205</v>
      </c>
    </row>
    <row r="782" spans="10:10">
      <c r="J782" t="s">
        <v>205</v>
      </c>
    </row>
    <row r="783" spans="10:10">
      <c r="J783" t="s">
        <v>205</v>
      </c>
    </row>
    <row r="784" spans="10:10">
      <c r="J784" t="s">
        <v>205</v>
      </c>
    </row>
    <row r="785" spans="10:10">
      <c r="J785" t="s">
        <v>205</v>
      </c>
    </row>
    <row r="786" spans="10:10">
      <c r="J786" t="s">
        <v>205</v>
      </c>
    </row>
    <row r="787" spans="10:10">
      <c r="J787" t="s">
        <v>205</v>
      </c>
    </row>
    <row r="788" spans="10:10">
      <c r="J788" t="s">
        <v>205</v>
      </c>
    </row>
    <row r="789" spans="10:10">
      <c r="J789" t="s">
        <v>205</v>
      </c>
    </row>
    <row r="790" spans="10:10">
      <c r="J790" t="s">
        <v>205</v>
      </c>
    </row>
    <row r="791" spans="10:10">
      <c r="J791" t="s">
        <v>205</v>
      </c>
    </row>
    <row r="792" spans="10:10">
      <c r="J792" t="s">
        <v>205</v>
      </c>
    </row>
    <row r="793" spans="10:10">
      <c r="J793" t="s">
        <v>205</v>
      </c>
    </row>
    <row r="794" spans="10:10">
      <c r="J794" t="s">
        <v>205</v>
      </c>
    </row>
    <row r="795" spans="10:10">
      <c r="J795" t="s">
        <v>205</v>
      </c>
    </row>
    <row r="796" spans="10:10">
      <c r="J796" t="s">
        <v>205</v>
      </c>
    </row>
    <row r="797" spans="10:10">
      <c r="J797" t="s">
        <v>205</v>
      </c>
    </row>
    <row r="798" spans="10:10">
      <c r="J798" t="s">
        <v>205</v>
      </c>
    </row>
    <row r="799" spans="10:10">
      <c r="J799" t="s">
        <v>205</v>
      </c>
    </row>
    <row r="800" spans="10:10">
      <c r="J800" t="s">
        <v>205</v>
      </c>
    </row>
    <row r="801" spans="10:10">
      <c r="J801" t="s">
        <v>205</v>
      </c>
    </row>
    <row r="802" spans="10:10">
      <c r="J802" t="s">
        <v>205</v>
      </c>
    </row>
    <row r="803" spans="10:10">
      <c r="J803" t="s">
        <v>205</v>
      </c>
    </row>
    <row r="804" spans="10:10">
      <c r="J804" t="s">
        <v>205</v>
      </c>
    </row>
    <row r="805" spans="10:10">
      <c r="J805" t="s">
        <v>205</v>
      </c>
    </row>
    <row r="806" spans="10:10">
      <c r="J806" t="s">
        <v>205</v>
      </c>
    </row>
    <row r="807" spans="10:10">
      <c r="J807" t="s">
        <v>205</v>
      </c>
    </row>
    <row r="808" spans="10:10">
      <c r="J808" t="s">
        <v>205</v>
      </c>
    </row>
    <row r="809" spans="10:10">
      <c r="J809" t="s">
        <v>205</v>
      </c>
    </row>
    <row r="810" spans="10:10">
      <c r="J810" t="s">
        <v>205</v>
      </c>
    </row>
    <row r="811" spans="10:10">
      <c r="J811" t="s">
        <v>205</v>
      </c>
    </row>
    <row r="812" spans="10:10">
      <c r="J812" t="s">
        <v>205</v>
      </c>
    </row>
    <row r="813" spans="10:10">
      <c r="J813" t="s">
        <v>205</v>
      </c>
    </row>
    <row r="814" spans="10:10">
      <c r="J814" t="s">
        <v>205</v>
      </c>
    </row>
    <row r="815" spans="10:10">
      <c r="J815" t="s">
        <v>205</v>
      </c>
    </row>
    <row r="816" spans="10:10">
      <c r="J816" t="s">
        <v>205</v>
      </c>
    </row>
    <row r="817" spans="10:10">
      <c r="J817" t="s">
        <v>205</v>
      </c>
    </row>
    <row r="818" spans="10:10">
      <c r="J818" t="s">
        <v>205</v>
      </c>
    </row>
    <row r="819" spans="10:10">
      <c r="J819" t="s">
        <v>205</v>
      </c>
    </row>
    <row r="820" spans="10:10">
      <c r="J820" t="s">
        <v>205</v>
      </c>
    </row>
    <row r="821" spans="10:10">
      <c r="J821" t="s">
        <v>205</v>
      </c>
    </row>
    <row r="822" spans="10:10">
      <c r="J822" t="s">
        <v>205</v>
      </c>
    </row>
    <row r="823" spans="10:10">
      <c r="J823" t="s">
        <v>205</v>
      </c>
    </row>
    <row r="824" spans="10:10">
      <c r="J824" t="s">
        <v>205</v>
      </c>
    </row>
    <row r="825" spans="10:10">
      <c r="J825" t="s">
        <v>205</v>
      </c>
    </row>
    <row r="826" spans="10:10">
      <c r="J826" t="s">
        <v>205</v>
      </c>
    </row>
    <row r="827" spans="10:10">
      <c r="J827" t="s">
        <v>205</v>
      </c>
    </row>
    <row r="828" spans="10:10">
      <c r="J828" t="s">
        <v>205</v>
      </c>
    </row>
    <row r="829" spans="10:10">
      <c r="J829" t="s">
        <v>205</v>
      </c>
    </row>
    <row r="830" spans="10:10">
      <c r="J830" t="s">
        <v>205</v>
      </c>
    </row>
    <row r="831" spans="10:10">
      <c r="J831" t="s">
        <v>205</v>
      </c>
    </row>
    <row r="832" spans="10:10">
      <c r="J832" t="s">
        <v>205</v>
      </c>
    </row>
    <row r="833" spans="10:10">
      <c r="J833" t="s">
        <v>205</v>
      </c>
    </row>
    <row r="834" spans="10:10">
      <c r="J834" t="s">
        <v>205</v>
      </c>
    </row>
    <row r="835" spans="10:10">
      <c r="J835" t="s">
        <v>205</v>
      </c>
    </row>
    <row r="836" spans="10:10">
      <c r="J836" t="s">
        <v>205</v>
      </c>
    </row>
    <row r="837" spans="10:10">
      <c r="J837" t="s">
        <v>205</v>
      </c>
    </row>
    <row r="838" spans="10:10">
      <c r="J838" t="s">
        <v>205</v>
      </c>
    </row>
    <row r="839" spans="10:10">
      <c r="J839" t="s">
        <v>205</v>
      </c>
    </row>
    <row r="840" spans="10:10">
      <c r="J840" t="s">
        <v>205</v>
      </c>
    </row>
    <row r="841" spans="10:10">
      <c r="J841" t="s">
        <v>205</v>
      </c>
    </row>
    <row r="842" spans="10:10">
      <c r="J842" t="s">
        <v>205</v>
      </c>
    </row>
    <row r="843" spans="10:10">
      <c r="J843" t="s">
        <v>205</v>
      </c>
    </row>
    <row r="844" spans="10:10">
      <c r="J844" t="s">
        <v>205</v>
      </c>
    </row>
    <row r="845" spans="10:10">
      <c r="J845" t="s">
        <v>205</v>
      </c>
    </row>
    <row r="846" spans="10:10">
      <c r="J846" t="s">
        <v>205</v>
      </c>
    </row>
    <row r="847" spans="10:10">
      <c r="J847" t="s">
        <v>205</v>
      </c>
    </row>
    <row r="848" spans="10:10">
      <c r="J848" t="s">
        <v>205</v>
      </c>
    </row>
    <row r="849" spans="10:10">
      <c r="J849" t="s">
        <v>205</v>
      </c>
    </row>
    <row r="850" spans="10:10">
      <c r="J850" t="s">
        <v>205</v>
      </c>
    </row>
    <row r="851" spans="10:10">
      <c r="J851" t="s">
        <v>205</v>
      </c>
    </row>
    <row r="852" spans="10:10">
      <c r="J852" t="s">
        <v>205</v>
      </c>
    </row>
    <row r="853" spans="10:10">
      <c r="J853" t="s">
        <v>205</v>
      </c>
    </row>
    <row r="854" spans="10:10">
      <c r="J854" t="s">
        <v>205</v>
      </c>
    </row>
    <row r="855" spans="10:10">
      <c r="J855" t="s">
        <v>205</v>
      </c>
    </row>
    <row r="856" spans="10:10">
      <c r="J856" t="s">
        <v>205</v>
      </c>
    </row>
    <row r="857" spans="10:10">
      <c r="J857" t="s">
        <v>205</v>
      </c>
    </row>
    <row r="858" spans="10:10">
      <c r="J858" t="s">
        <v>205</v>
      </c>
    </row>
    <row r="859" spans="10:10">
      <c r="J859" t="s">
        <v>205</v>
      </c>
    </row>
    <row r="860" spans="10:10">
      <c r="J860" t="s">
        <v>205</v>
      </c>
    </row>
    <row r="861" spans="10:10">
      <c r="J861" t="s">
        <v>205</v>
      </c>
    </row>
    <row r="862" spans="10:10">
      <c r="J862" t="s">
        <v>205</v>
      </c>
    </row>
    <row r="863" spans="10:10">
      <c r="J863" t="s">
        <v>205</v>
      </c>
    </row>
    <row r="864" spans="10:10">
      <c r="J864" t="s">
        <v>205</v>
      </c>
    </row>
    <row r="865" spans="10:10">
      <c r="J865" t="s">
        <v>205</v>
      </c>
    </row>
    <row r="866" spans="10:10">
      <c r="J866" t="s">
        <v>205</v>
      </c>
    </row>
    <row r="867" spans="10:10">
      <c r="J867" t="s">
        <v>205</v>
      </c>
    </row>
    <row r="868" spans="10:10">
      <c r="J868" t="s">
        <v>205</v>
      </c>
    </row>
    <row r="869" spans="10:10">
      <c r="J869" t="s">
        <v>205</v>
      </c>
    </row>
    <row r="870" spans="10:10">
      <c r="J870" t="s">
        <v>205</v>
      </c>
    </row>
    <row r="871" spans="10:10">
      <c r="J871" t="s">
        <v>205</v>
      </c>
    </row>
    <row r="872" spans="10:10">
      <c r="J872" t="s">
        <v>205</v>
      </c>
    </row>
    <row r="873" spans="10:10">
      <c r="J873" t="s">
        <v>205</v>
      </c>
    </row>
    <row r="874" spans="10:10">
      <c r="J874" t="s">
        <v>205</v>
      </c>
    </row>
    <row r="875" spans="10:10">
      <c r="J875" t="s">
        <v>205</v>
      </c>
    </row>
    <row r="876" spans="10:10">
      <c r="J876" t="s">
        <v>205</v>
      </c>
    </row>
    <row r="877" spans="10:10">
      <c r="J877" t="s">
        <v>205</v>
      </c>
    </row>
    <row r="878" spans="10:10">
      <c r="J878" t="s">
        <v>205</v>
      </c>
    </row>
    <row r="879" spans="10:10">
      <c r="J879" t="s">
        <v>205</v>
      </c>
    </row>
    <row r="880" spans="10:10">
      <c r="J880" t="s">
        <v>205</v>
      </c>
    </row>
    <row r="881" spans="10:10">
      <c r="J881" t="s">
        <v>205</v>
      </c>
    </row>
    <row r="882" spans="10:10">
      <c r="J882" t="s">
        <v>205</v>
      </c>
    </row>
    <row r="883" spans="10:10">
      <c r="J883" t="s">
        <v>205</v>
      </c>
    </row>
    <row r="884" spans="10:10">
      <c r="J884" t="s">
        <v>205</v>
      </c>
    </row>
    <row r="885" spans="10:10">
      <c r="J885" t="s">
        <v>205</v>
      </c>
    </row>
    <row r="886" spans="10:10">
      <c r="J886" t="s">
        <v>205</v>
      </c>
    </row>
    <row r="887" spans="10:10">
      <c r="J887" t="s">
        <v>205</v>
      </c>
    </row>
    <row r="888" spans="10:10">
      <c r="J888" t="s">
        <v>205</v>
      </c>
    </row>
    <row r="889" spans="10:10">
      <c r="J889" t="s">
        <v>205</v>
      </c>
    </row>
    <row r="890" spans="10:10">
      <c r="J890" t="s">
        <v>205</v>
      </c>
    </row>
    <row r="891" spans="10:10">
      <c r="J891" t="s">
        <v>205</v>
      </c>
    </row>
    <row r="892" spans="10:10">
      <c r="J892" t="s">
        <v>205</v>
      </c>
    </row>
    <row r="893" spans="10:10">
      <c r="J893" t="s">
        <v>205</v>
      </c>
    </row>
    <row r="894" spans="10:10">
      <c r="J894" t="s">
        <v>205</v>
      </c>
    </row>
    <row r="895" spans="10:10">
      <c r="J895" t="s">
        <v>205</v>
      </c>
    </row>
    <row r="896" spans="10:10">
      <c r="J896" t="s">
        <v>205</v>
      </c>
    </row>
    <row r="897" spans="10:10">
      <c r="J897" t="s">
        <v>205</v>
      </c>
    </row>
    <row r="898" spans="10:10">
      <c r="J898" t="s">
        <v>205</v>
      </c>
    </row>
    <row r="899" spans="10:10">
      <c r="J899" t="s">
        <v>205</v>
      </c>
    </row>
    <row r="900" spans="10:10">
      <c r="J900" t="s">
        <v>205</v>
      </c>
    </row>
    <row r="901" spans="10:10">
      <c r="J901" t="s">
        <v>205</v>
      </c>
    </row>
    <row r="902" spans="10:10">
      <c r="J902" t="s">
        <v>205</v>
      </c>
    </row>
    <row r="903" spans="10:10">
      <c r="J903" t="s">
        <v>205</v>
      </c>
    </row>
    <row r="904" spans="10:10">
      <c r="J904" t="s">
        <v>205</v>
      </c>
    </row>
    <row r="905" spans="10:10">
      <c r="J905" t="s">
        <v>205</v>
      </c>
    </row>
    <row r="906" spans="10:10">
      <c r="J906" t="s">
        <v>205</v>
      </c>
    </row>
    <row r="907" spans="10:10">
      <c r="J907" t="s">
        <v>205</v>
      </c>
    </row>
    <row r="908" spans="10:10">
      <c r="J908" t="s">
        <v>205</v>
      </c>
    </row>
    <row r="909" spans="10:10">
      <c r="J909" t="s">
        <v>205</v>
      </c>
    </row>
    <row r="910" spans="10:10">
      <c r="J910" t="s">
        <v>205</v>
      </c>
    </row>
    <row r="911" spans="10:10">
      <c r="J911" t="s">
        <v>205</v>
      </c>
    </row>
    <row r="912" spans="10:10">
      <c r="J912" t="s">
        <v>205</v>
      </c>
    </row>
    <row r="913" spans="10:10">
      <c r="J913" t="s">
        <v>205</v>
      </c>
    </row>
    <row r="914" spans="10:10">
      <c r="J914" t="s">
        <v>205</v>
      </c>
    </row>
    <row r="915" spans="10:10">
      <c r="J915" t="s">
        <v>205</v>
      </c>
    </row>
    <row r="916" spans="10:10">
      <c r="J916" t="s">
        <v>205</v>
      </c>
    </row>
    <row r="917" spans="10:10">
      <c r="J917" t="s">
        <v>205</v>
      </c>
    </row>
    <row r="918" spans="10:10">
      <c r="J918" t="s">
        <v>205</v>
      </c>
    </row>
    <row r="919" spans="10:10">
      <c r="J919" t="s">
        <v>205</v>
      </c>
    </row>
    <row r="920" spans="10:10">
      <c r="J920" t="s">
        <v>205</v>
      </c>
    </row>
    <row r="921" spans="10:10">
      <c r="J921" t="s">
        <v>205</v>
      </c>
    </row>
    <row r="922" spans="10:10">
      <c r="J922" t="s">
        <v>205</v>
      </c>
    </row>
    <row r="923" spans="10:10">
      <c r="J923" t="s">
        <v>205</v>
      </c>
    </row>
    <row r="924" spans="10:10">
      <c r="J924" t="s">
        <v>205</v>
      </c>
    </row>
    <row r="925" spans="10:10">
      <c r="J925" t="s">
        <v>205</v>
      </c>
    </row>
    <row r="926" spans="10:10">
      <c r="J926" t="s">
        <v>205</v>
      </c>
    </row>
    <row r="927" spans="10:10">
      <c r="J927" t="s">
        <v>205</v>
      </c>
    </row>
    <row r="928" spans="10:10">
      <c r="J928" t="s">
        <v>205</v>
      </c>
    </row>
    <row r="929" spans="10:10">
      <c r="J929" t="s">
        <v>205</v>
      </c>
    </row>
    <row r="930" spans="10:10">
      <c r="J930" t="s">
        <v>205</v>
      </c>
    </row>
    <row r="931" spans="10:10">
      <c r="J931" t="s">
        <v>205</v>
      </c>
    </row>
    <row r="932" spans="10:10">
      <c r="J932" t="s">
        <v>205</v>
      </c>
    </row>
    <row r="933" spans="10:10">
      <c r="J933" t="s">
        <v>205</v>
      </c>
    </row>
    <row r="934" spans="10:10">
      <c r="J934" t="s">
        <v>205</v>
      </c>
    </row>
    <row r="935" spans="10:10">
      <c r="J935" t="s">
        <v>205</v>
      </c>
    </row>
    <row r="936" spans="10:10">
      <c r="J936" t="s">
        <v>205</v>
      </c>
    </row>
    <row r="937" spans="10:10">
      <c r="J937" t="s">
        <v>205</v>
      </c>
    </row>
    <row r="938" spans="10:10">
      <c r="J938" t="s">
        <v>205</v>
      </c>
    </row>
    <row r="939" spans="10:10">
      <c r="J939" t="s">
        <v>205</v>
      </c>
    </row>
    <row r="940" spans="10:10">
      <c r="J940" t="s">
        <v>205</v>
      </c>
    </row>
    <row r="941" spans="10:10">
      <c r="J941" t="s">
        <v>205</v>
      </c>
    </row>
    <row r="942" spans="10:10">
      <c r="J942" t="s">
        <v>205</v>
      </c>
    </row>
    <row r="943" spans="10:10">
      <c r="J943" t="s">
        <v>205</v>
      </c>
    </row>
    <row r="944" spans="10:10">
      <c r="J944" t="s">
        <v>205</v>
      </c>
    </row>
    <row r="945" spans="10:10">
      <c r="J945" t="s">
        <v>205</v>
      </c>
    </row>
    <row r="946" spans="10:10">
      <c r="J946" t="s">
        <v>205</v>
      </c>
    </row>
    <row r="947" spans="10:10">
      <c r="J947" t="s">
        <v>205</v>
      </c>
    </row>
    <row r="948" spans="10:10">
      <c r="J948" t="s">
        <v>205</v>
      </c>
    </row>
    <row r="949" spans="10:10">
      <c r="J949" t="s">
        <v>205</v>
      </c>
    </row>
    <row r="950" spans="10:10">
      <c r="J950" t="s">
        <v>205</v>
      </c>
    </row>
    <row r="951" spans="10:10">
      <c r="J951" t="s">
        <v>205</v>
      </c>
    </row>
    <row r="952" spans="10:10">
      <c r="J952" t="s">
        <v>205</v>
      </c>
    </row>
    <row r="953" spans="10:10">
      <c r="J953" t="s">
        <v>205</v>
      </c>
    </row>
    <row r="954" spans="10:10">
      <c r="J954" t="s">
        <v>205</v>
      </c>
    </row>
    <row r="955" spans="10:10">
      <c r="J955" t="s">
        <v>205</v>
      </c>
    </row>
    <row r="956" spans="10:10">
      <c r="J956" t="s">
        <v>205</v>
      </c>
    </row>
    <row r="957" spans="10:10">
      <c r="J957" t="s">
        <v>205</v>
      </c>
    </row>
    <row r="958" spans="10:10">
      <c r="J958" t="s">
        <v>205</v>
      </c>
    </row>
    <row r="959" spans="10:10">
      <c r="J959" t="s">
        <v>205</v>
      </c>
    </row>
    <row r="960" spans="10:10">
      <c r="J960" t="s">
        <v>205</v>
      </c>
    </row>
    <row r="961" spans="10:10">
      <c r="J961" t="s">
        <v>205</v>
      </c>
    </row>
    <row r="962" spans="10:10">
      <c r="J962" t="s">
        <v>205</v>
      </c>
    </row>
    <row r="963" spans="10:10">
      <c r="J963" t="s">
        <v>205</v>
      </c>
    </row>
    <row r="964" spans="10:10">
      <c r="J964" t="s">
        <v>205</v>
      </c>
    </row>
    <row r="965" spans="10:10">
      <c r="J965" t="s">
        <v>205</v>
      </c>
    </row>
    <row r="966" spans="10:10">
      <c r="J966" t="s">
        <v>205</v>
      </c>
    </row>
    <row r="967" spans="10:10">
      <c r="J967" t="s">
        <v>205</v>
      </c>
    </row>
    <row r="968" spans="10:10">
      <c r="J968" t="s">
        <v>205</v>
      </c>
    </row>
    <row r="969" spans="10:10">
      <c r="J969" t="s">
        <v>205</v>
      </c>
    </row>
    <row r="970" spans="10:10">
      <c r="J970" t="s">
        <v>205</v>
      </c>
    </row>
    <row r="971" spans="10:10">
      <c r="J971" t="s">
        <v>205</v>
      </c>
    </row>
    <row r="972" spans="10:10">
      <c r="J972" t="s">
        <v>205</v>
      </c>
    </row>
    <row r="973" spans="10:10">
      <c r="J973" t="s">
        <v>205</v>
      </c>
    </row>
    <row r="974" spans="10:10">
      <c r="J974" t="s">
        <v>205</v>
      </c>
    </row>
    <row r="975" spans="10:10">
      <c r="J975" t="s">
        <v>205</v>
      </c>
    </row>
    <row r="976" spans="10:10">
      <c r="J976" t="s">
        <v>205</v>
      </c>
    </row>
    <row r="977" spans="10:10">
      <c r="J977" t="s">
        <v>205</v>
      </c>
    </row>
    <row r="978" spans="10:10">
      <c r="J978" t="s">
        <v>205</v>
      </c>
    </row>
    <row r="979" spans="10:10">
      <c r="J979" t="s">
        <v>205</v>
      </c>
    </row>
    <row r="980" spans="10:10">
      <c r="J980" t="s">
        <v>205</v>
      </c>
    </row>
    <row r="981" spans="10:10">
      <c r="J981" t="s">
        <v>205</v>
      </c>
    </row>
    <row r="982" spans="10:10">
      <c r="J982" t="s">
        <v>205</v>
      </c>
    </row>
    <row r="983" spans="10:10">
      <c r="J983" t="s">
        <v>205</v>
      </c>
    </row>
    <row r="984" spans="10:10">
      <c r="J984" t="s">
        <v>205</v>
      </c>
    </row>
    <row r="985" spans="10:10">
      <c r="J985" t="s">
        <v>205</v>
      </c>
    </row>
    <row r="986" spans="10:10">
      <c r="J986" t="s">
        <v>205</v>
      </c>
    </row>
    <row r="987" spans="10:10">
      <c r="J987" t="s">
        <v>205</v>
      </c>
    </row>
    <row r="988" spans="10:10">
      <c r="J988" t="s">
        <v>205</v>
      </c>
    </row>
    <row r="989" spans="10:10">
      <c r="J989" t="s">
        <v>205</v>
      </c>
    </row>
    <row r="990" spans="10:10">
      <c r="J990" t="s">
        <v>205</v>
      </c>
    </row>
    <row r="991" spans="10:10">
      <c r="J991" t="s">
        <v>205</v>
      </c>
    </row>
    <row r="992" spans="10:10">
      <c r="J992" t="s">
        <v>205</v>
      </c>
    </row>
    <row r="993" spans="10:10">
      <c r="J993" t="s">
        <v>205</v>
      </c>
    </row>
    <row r="994" spans="10:10">
      <c r="J994" t="s">
        <v>205</v>
      </c>
    </row>
    <row r="995" spans="10:10">
      <c r="J995" t="s">
        <v>205</v>
      </c>
    </row>
    <row r="996" spans="10:10">
      <c r="J996" t="s">
        <v>205</v>
      </c>
    </row>
  </sheetData>
  <conditionalFormatting sqref="A2:G1048576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3:O141"/>
  <sheetViews>
    <sheetView topLeftCell="A13" workbookViewId="0">
      <selection activeCell="M12" sqref="M12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5.6640625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7" bestFit="1" customWidth="1"/>
    <col min="12" max="12" width="18.109375" style="7" bestFit="1" customWidth="1"/>
    <col min="13" max="13" width="12.21875" bestFit="1" customWidth="1"/>
    <col min="14" max="14" width="16.109375" bestFit="1" customWidth="1"/>
    <col min="15" max="15" width="18.5546875" style="7" bestFit="1" customWidth="1"/>
  </cols>
  <sheetData>
    <row r="3" spans="1:15">
      <c r="A3" s="76" t="s">
        <v>161</v>
      </c>
      <c r="B3" s="76"/>
      <c r="C3" s="76"/>
      <c r="D3" s="76"/>
      <c r="F3" s="77" t="s">
        <v>166</v>
      </c>
      <c r="G3" s="77"/>
      <c r="H3" s="77"/>
      <c r="I3" s="77"/>
      <c r="J3" s="77"/>
      <c r="K3" s="77"/>
      <c r="L3" s="77"/>
      <c r="M3" s="77"/>
      <c r="N3" s="77"/>
      <c r="O3" s="77"/>
    </row>
    <row r="4" spans="1:15">
      <c r="A4" s="76"/>
      <c r="B4" s="76"/>
      <c r="C4" s="76"/>
      <c r="D4" s="76"/>
      <c r="F4" s="77"/>
      <c r="G4" s="77"/>
      <c r="H4" s="77"/>
      <c r="I4" s="77"/>
      <c r="J4" s="77"/>
      <c r="K4" s="77"/>
      <c r="L4" s="77"/>
      <c r="M4" s="77"/>
      <c r="N4" s="77"/>
      <c r="O4" s="77"/>
    </row>
    <row r="5" spans="1:15">
      <c r="A5" t="s">
        <v>0</v>
      </c>
      <c r="B5" t="s">
        <v>2</v>
      </c>
      <c r="C5" s="2" t="s">
        <v>152</v>
      </c>
      <c r="D5" t="s">
        <v>153</v>
      </c>
      <c r="F5" t="s">
        <v>162</v>
      </c>
      <c r="G5" t="s">
        <v>165</v>
      </c>
      <c r="H5" t="s">
        <v>0</v>
      </c>
      <c r="I5" t="s">
        <v>2</v>
      </c>
      <c r="J5" t="s">
        <v>108</v>
      </c>
      <c r="K5" s="7" t="s">
        <v>163</v>
      </c>
      <c r="L5" s="7" t="s">
        <v>164</v>
      </c>
      <c r="M5" t="s">
        <v>168</v>
      </c>
      <c r="N5" t="s">
        <v>167</v>
      </c>
      <c r="O5" s="7" t="s">
        <v>153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6">
        <f>IF(Table6[[#This Row],[SKU]]="","",SUMIF(Table7[SKU],'FIFO COGS'!A6,Table7[Stock Available]))</f>
        <v>0</v>
      </c>
      <c r="D6" s="37">
        <f>IF(A6="","",SUMIF(Table7[SKU],'FIFO COGS'!A6,Table7[Value]))</f>
        <v>0</v>
      </c>
      <c r="E6" s="2"/>
      <c r="F6" s="42">
        <f>IF(Table7[[#This Row],[Invoice]]="","",TabPO[[#This Row],[Tanggal]])</f>
        <v>45448</v>
      </c>
      <c r="G6" t="str">
        <f>TabPO[[#This Row],[No Invoice]]</f>
        <v>0506241-VEN-003-LG-0001-1</v>
      </c>
      <c r="H6" t="str">
        <f>IF(Table7[[#This Row],[Invoice]]="","",TabPO[[#This Row],[SKU]])</f>
        <v>LG-0001-1</v>
      </c>
      <c r="I6" t="str">
        <f>IF(Table7[[#This Row],[Invoice]]="","",TabPO[[#This Row],[Product Name]])</f>
        <v>LG TV 24' LCD</v>
      </c>
      <c r="J6" s="40">
        <f>IF(Table7[[#This Row],[Invoice]]="","",TabPO[[#This Row],[Order]])</f>
        <v>10</v>
      </c>
      <c r="K6" s="39">
        <f>IF(Table7[[#This Row],[SKU]]="","",TabPO[[#This Row],[Price]])</f>
        <v>2234000</v>
      </c>
      <c r="L6" s="39">
        <f>IFERROR(Table7[[#This Row],[Unit]]*Table7[[#This Row],[Cost / Unit]],"")</f>
        <v>22340000</v>
      </c>
      <c r="M6" s="38">
        <f>IF(Table7[[#This Row],[SKU]]="","",MIN(Table7[[#This Row],[Unit]],SUMIF(Sales!$F$5:$F$111,Table7[[#This Row],[SKU]],Sales!$H$5:$H$111)-SUMIF($H$5:H5,H6,$M$5:M5)))</f>
        <v>10</v>
      </c>
      <c r="N6" s="35">
        <f>IF(Table7[[#This Row],[SKU]]="","",Table7[[#This Row],[Unit]]-Table7[[#This Row],[Unit Sold]])</f>
        <v>0</v>
      </c>
      <c r="O6" s="34">
        <f>IF(Table7[[#This Row],[SKU]]="","",Table7[[#This Row],[Stock Available]]*Table7[[#This Row],[Cost / Unit]])</f>
        <v>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6">
        <f>IF(Table6[[#This Row],[SKU]]="","",SUMIF(Table7[SKU],'FIFO COGS'!A7,Table7[Stock Available]))</f>
        <v>0</v>
      </c>
      <c r="D7" s="37">
        <f>IF(A7="","",SUMIF(Table7[SKU],'FIFO COGS'!A7,Table7[Value]))</f>
        <v>0</v>
      </c>
      <c r="E7" s="2"/>
      <c r="F7" s="42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40">
        <f>IF(Table7[[#This Row],[Invoice]]="","",TabPO[[#This Row],[Order]])</f>
        <v>2</v>
      </c>
      <c r="K7" s="39">
        <f>IF(Table7[[#This Row],[SKU]]="","",TabPO[[#This Row],[Price]])</f>
        <v>43200000</v>
      </c>
      <c r="L7" s="39">
        <f>IFERROR(Table7[[#This Row],[Unit]]*Table7[[#This Row],[Cost / Unit]],"")</f>
        <v>86400000</v>
      </c>
      <c r="M7" s="38">
        <f>IF(Table7[[#This Row],[SKU]]="","",MIN(Table7[[#This Row],[Unit]],SUMIF(Sales!$F$5:$F$111,Table7[[#This Row],[SKU]],Sales!$H$5:$H$111)-SUMIF($H$5:H6,H7,$M$5:M6)))</f>
        <v>2</v>
      </c>
      <c r="N7" s="35">
        <f>IF(Table7[[#This Row],[SKU]]="","",Table7[[#This Row],[Unit]]-Table7[[#This Row],[Unit Sold]])</f>
        <v>0</v>
      </c>
      <c r="O7" s="34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6">
        <f>IF(Table6[[#This Row],[SKU]]="","",SUMIF(Table7[SKU],'FIFO COGS'!A8,Table7[Stock Available]))</f>
        <v>4</v>
      </c>
      <c r="D8" s="37">
        <f>IF(A8="","",SUMIF(Table7[SKU],'FIFO COGS'!A8,Table7[Value]))</f>
        <v>169000000</v>
      </c>
      <c r="E8" s="2"/>
      <c r="F8" s="42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40">
        <f>IF(Table7[[#This Row],[Invoice]]="","",TabPO[[#This Row],[Order]])</f>
        <v>1</v>
      </c>
      <c r="K8" s="39">
        <f>IF(Table7[[#This Row],[SKU]]="","",TabPO[[#This Row],[Price]])</f>
        <v>43000000</v>
      </c>
      <c r="L8" s="39">
        <f>IFERROR(Table7[[#This Row],[Unit]]*Table7[[#This Row],[Cost / Unit]],"")</f>
        <v>43000000</v>
      </c>
      <c r="M8" s="38">
        <f>IF(Table7[[#This Row],[SKU]]="","",MIN(Table7[[#This Row],[Unit]],SUMIF(Sales!$F$5:$F$111,Table7[[#This Row],[SKU]],Sales!$H$5:$H$111)-SUMIF($H$5:H7,H8,$M$5:M7)))</f>
        <v>1</v>
      </c>
      <c r="N8" s="35">
        <f>IF(Table7[[#This Row],[SKU]]="","",Table7[[#This Row],[Unit]]-Table7[[#This Row],[Unit Sold]])</f>
        <v>0</v>
      </c>
      <c r="O8" s="34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6">
        <f>IF(Table6[[#This Row],[SKU]]="","",SUMIF(Table7[SKU],'FIFO COGS'!A9,Table7[Stock Available]))</f>
        <v>17</v>
      </c>
      <c r="D9" s="37">
        <f>IF(A9="","",SUMIF(Table7[SKU],'FIFO COGS'!A9,Table7[Value]))</f>
        <v>28050000</v>
      </c>
      <c r="E9" s="2"/>
      <c r="F9" s="42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40">
        <f>IF(Table7[[#This Row],[Invoice]]="","",TabPO[[#This Row],[Order]])</f>
        <v>2</v>
      </c>
      <c r="K9" s="39">
        <f>IF(Table7[[#This Row],[SKU]]="","",TabPO[[#This Row],[Price]])</f>
        <v>24252000</v>
      </c>
      <c r="L9" s="39">
        <f>IFERROR(Table7[[#This Row],[Unit]]*Table7[[#This Row],[Cost / Unit]],"")</f>
        <v>48504000</v>
      </c>
      <c r="M9" s="38">
        <f>IF(Table7[[#This Row],[SKU]]="","",MIN(Table7[[#This Row],[Unit]],SUMIF(Sales!$F$5:$F$111,Table7[[#This Row],[SKU]],Sales!$H$5:$H$111)-SUMIF($H$5:H8,H9,$M$5:M8)))</f>
        <v>2</v>
      </c>
      <c r="N9" s="35">
        <f>IF(Table7[[#This Row],[SKU]]="","",Table7[[#This Row],[Unit]]-Table7[[#This Row],[Unit Sold]])</f>
        <v>0</v>
      </c>
      <c r="O9" s="34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6">
        <f>IF(Table6[[#This Row],[SKU]]="","",SUMIF(Table7[SKU],'FIFO COGS'!A10,Table7[Stock Available]))</f>
        <v>0</v>
      </c>
      <c r="D10" s="37">
        <f>IF(A10="","",SUMIF(Table7[SKU],'FIFO COGS'!A10,Table7[Value]))</f>
        <v>0</v>
      </c>
      <c r="F10" s="42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40">
        <f>IF(Table7[[#This Row],[Invoice]]="","",TabPO[[#This Row],[Order]])</f>
        <v>10</v>
      </c>
      <c r="K10" s="39">
        <f>IF(Table7[[#This Row],[SKU]]="","",TabPO[[#This Row],[Price]])</f>
        <v>1850000</v>
      </c>
      <c r="L10" s="39">
        <f>IFERROR(Table7[[#This Row],[Unit]]*Table7[[#This Row],[Cost / Unit]],"")</f>
        <v>18500000</v>
      </c>
      <c r="M10" s="38">
        <f>IF(Table7[[#This Row],[SKU]]="","",MIN(Table7[[#This Row],[Unit]],SUMIF(Sales!$F$5:$F$111,Table7[[#This Row],[SKU]],Sales!$H$5:$H$111)-SUMIF($H$5:H9,H10,$M$5:M9)))</f>
        <v>3</v>
      </c>
      <c r="N10" s="35">
        <f>IF(Table7[[#This Row],[SKU]]="","",Table7[[#This Row],[Unit]]-Table7[[#This Row],[Unit Sold]])</f>
        <v>7</v>
      </c>
      <c r="O10" s="34">
        <f>IF(Table7[[#This Row],[SKU]]="","",Table7[[#This Row],[Stock Available]]*Table7[[#This Row],[Cost / Unit]])</f>
        <v>12950000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6">
        <f>IF(Table6[[#This Row],[SKU]]="","",SUMIF(Table7[SKU],'FIFO COGS'!A11,Table7[Stock Available]))</f>
        <v>0</v>
      </c>
      <c r="D11" s="37">
        <f>IF(A11="","",SUMIF(Table7[SKU],'FIFO COGS'!A11,Table7[Value]))</f>
        <v>0</v>
      </c>
      <c r="F11" s="42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40">
        <f>IF(Table7[[#This Row],[Invoice]]="","",TabPO[[#This Row],[Order]])</f>
        <v>20</v>
      </c>
      <c r="K11" s="39">
        <f>IF(Table7[[#This Row],[SKU]]="","",TabPO[[#This Row],[Price]])</f>
        <v>2125000</v>
      </c>
      <c r="L11" s="39">
        <f>IFERROR(Table7[[#This Row],[Unit]]*Table7[[#This Row],[Cost / Unit]],"")</f>
        <v>42500000</v>
      </c>
      <c r="M11" s="38">
        <f>IF(Table7[[#This Row],[SKU]]="","",MIN(Table7[[#This Row],[Unit]],SUMIF(Sales!$F$5:$F$111,Table7[[#This Row],[SKU]],Sales!$H$5:$H$111)-SUMIF($H$5:H10,H11,$M$5:M10)))</f>
        <v>20</v>
      </c>
      <c r="N11" s="35">
        <f>IF(Table7[[#This Row],[SKU]]="","",Table7[[#This Row],[Unit]]-Table7[[#This Row],[Unit Sold]])</f>
        <v>0</v>
      </c>
      <c r="O11" s="34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6">
        <f>IF(Table6[[#This Row],[SKU]]="","",SUMIF(Table7[SKU],'FIFO COGS'!A12,Table7[Stock Available]))</f>
        <v>0</v>
      </c>
      <c r="D12" s="37">
        <f>IF(A12="","",SUMIF(Table7[SKU],'FIFO COGS'!A12,Table7[Value]))</f>
        <v>0</v>
      </c>
      <c r="F12" s="42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40">
        <f>IF(Table7[[#This Row],[Invoice]]="","",TabPO[[#This Row],[Order]])</f>
        <v>5</v>
      </c>
      <c r="K12" s="39">
        <f>IF(Table7[[#This Row],[SKU]]="","",TabPO[[#This Row],[Price]])</f>
        <v>1200000</v>
      </c>
      <c r="L12" s="39">
        <f>IFERROR(Table7[[#This Row],[Unit]]*Table7[[#This Row],[Cost / Unit]],"")</f>
        <v>6000000</v>
      </c>
      <c r="M12" s="38">
        <f>IF(Table7[[#This Row],[SKU]]="","",MIN(Table7[[#This Row],[Unit]],SUMIF(Sales!$F$5:$F$111,Table7[[#This Row],[SKU]],Sales!$H$5:$H$111)-SUMIF($H$5:H11,H12,$M$5:M11)))</f>
        <v>0</v>
      </c>
      <c r="N12" s="35">
        <f>IF(Table7[[#This Row],[SKU]]="","",Table7[[#This Row],[Unit]]-Table7[[#This Row],[Unit Sold]])</f>
        <v>5</v>
      </c>
      <c r="O12" s="34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6">
        <f>IF(Table6[[#This Row],[SKU]]="","",SUMIF(Table7[SKU],'FIFO COGS'!A13,Table7[Stock Available]))</f>
        <v>0</v>
      </c>
      <c r="D13" s="37">
        <f>IF(A13="","",SUMIF(Table7[SKU],'FIFO COGS'!A13,Table7[Value]))</f>
        <v>0</v>
      </c>
      <c r="F13" s="42">
        <f>IF(Table7[[#This Row],[Invoice]]="","",TabPO[[#This Row],[Tanggal]])</f>
        <v>45449</v>
      </c>
      <c r="G13" t="str">
        <f>TabPO[[#This Row],[No Invoice]]</f>
        <v>0606248-VEN-005-PH-0004-12</v>
      </c>
      <c r="H13" t="str">
        <f>IF(Table7[[#This Row],[Invoice]]="","",TabPO[[#This Row],[SKU]])</f>
        <v>PH-0004-12</v>
      </c>
      <c r="I13" t="str">
        <f>IF(Table7[[#This Row],[Invoice]]="","",TabPO[[#This Row],[Product Name]])</f>
        <v>Philips Hue Standard Packet</v>
      </c>
      <c r="J13" s="40">
        <f>IF(Table7[[#This Row],[Invoice]]="","",TabPO[[#This Row],[Order]])</f>
        <v>10</v>
      </c>
      <c r="K13" s="39">
        <f>IF(Table7[[#This Row],[SKU]]="","",TabPO[[#This Row],[Price]])</f>
        <v>1125000</v>
      </c>
      <c r="L13" s="39">
        <f>IFERROR(Table7[[#This Row],[Unit]]*Table7[[#This Row],[Cost / Unit]],"")</f>
        <v>11250000</v>
      </c>
      <c r="M13" s="38">
        <f>IF(Table7[[#This Row],[SKU]]="","",MIN(Table7[[#This Row],[Unit]],SUMIF(Sales!$F$5:$F$111,Table7[[#This Row],[SKU]],Sales!$H$5:$H$111)-SUMIF($H$5:H12,H13,$M$5:M12)))</f>
        <v>0</v>
      </c>
      <c r="N13" s="35">
        <f>IF(Table7[[#This Row],[SKU]]="","",Table7[[#This Row],[Unit]]-Table7[[#This Row],[Unit Sold]])</f>
        <v>10</v>
      </c>
      <c r="O13" s="34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6">
        <f>IF(Table6[[#This Row],[SKU]]="","",SUMIF(Table7[SKU],'FIFO COGS'!A14,Table7[Stock Available]))</f>
        <v>0</v>
      </c>
      <c r="D14" s="37">
        <f>IF(A14="","",SUMIF(Table7[SKU],'FIFO COGS'!A14,Table7[Value]))</f>
        <v>0</v>
      </c>
      <c r="F14" s="42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40">
        <f>IF(Table7[[#This Row],[Invoice]]="","",TabPO[[#This Row],[Order]])</f>
        <v>6</v>
      </c>
      <c r="K14" s="39">
        <f>IF(Table7[[#This Row],[SKU]]="","",TabPO[[#This Row],[Price]])</f>
        <v>43000000</v>
      </c>
      <c r="L14" s="39">
        <f>IFERROR(Table7[[#This Row],[Unit]]*Table7[[#This Row],[Cost / Unit]],"")</f>
        <v>258000000</v>
      </c>
      <c r="M14" s="38">
        <f>IF(Table7[[#This Row],[SKU]]="","",MIN(Table7[[#This Row],[Unit]],SUMIF(Sales!$F$5:$F$111,Table7[[#This Row],[SKU]],Sales!$H$5:$H$111)-SUMIF($H$5:H13,H14,$M$5:M13)))</f>
        <v>3</v>
      </c>
      <c r="N14" s="35">
        <f>IF(Table7[[#This Row],[SKU]]="","",Table7[[#This Row],[Unit]]-Table7[[#This Row],[Unit Sold]])</f>
        <v>3</v>
      </c>
      <c r="O14" s="34">
        <f>IF(Table7[[#This Row],[SKU]]="","",Table7[[#This Row],[Stock Available]]*Table7[[#This Row],[Cost / Unit]])</f>
        <v>129000000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6">
        <f>IF(Table6[[#This Row],[SKU]]="","",SUMIF(Table7[SKU],'FIFO COGS'!A15,Table7[Stock Available]))</f>
        <v>0</v>
      </c>
      <c r="D15" s="37">
        <f>IF(A15="","",SUMIF(Table7[SKU],'FIFO COGS'!A15,Table7[Value]))</f>
        <v>0</v>
      </c>
      <c r="F15" s="42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40">
        <f>IF(Table7[[#This Row],[Invoice]]="","",TabPO[[#This Row],[Order]])</f>
        <v>5</v>
      </c>
      <c r="K15" s="39">
        <f>IF(Table7[[#This Row],[SKU]]="","",TabPO[[#This Row],[Price]])</f>
        <v>1820000</v>
      </c>
      <c r="L15" s="39">
        <f>IFERROR(Table7[[#This Row],[Unit]]*Table7[[#This Row],[Cost / Unit]],"")</f>
        <v>9100000</v>
      </c>
      <c r="M15" s="38">
        <f>IF(Table7[[#This Row],[SKU]]="","",MIN(Table7[[#This Row],[Unit]],SUMIF(Sales!$F$5:$F$111,Table7[[#This Row],[SKU]],Sales!$H$5:$H$111)-SUMIF($H$5:H14,H15,$M$5:M14)))</f>
        <v>0</v>
      </c>
      <c r="N15" s="35">
        <f>IF(Table7[[#This Row],[SKU]]="","",Table7[[#This Row],[Unit]]-Table7[[#This Row],[Unit Sold]])</f>
        <v>5</v>
      </c>
      <c r="O15" s="34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PH-0004-12</v>
      </c>
      <c r="B16" t="str">
        <f>IF('Product Item'!D:D="","",'Product Item'!G:G)</f>
        <v>Philips Hue Standard Packet</v>
      </c>
      <c r="C16" s="36">
        <f>IF(Table6[[#This Row],[SKU]]="","",SUMIF(Table7[SKU],'FIFO COGS'!A16,Table7[Stock Available]))</f>
        <v>10</v>
      </c>
      <c r="D16" s="37">
        <f>IF(A16="","",SUMIF(Table7[SKU],'FIFO COGS'!A16,Table7[Value]))</f>
        <v>11250000</v>
      </c>
      <c r="F16" s="42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40">
        <f>IF(Table7[[#This Row],[Invoice]]="","",TabPO[[#This Row],[Order]])</f>
        <v>2</v>
      </c>
      <c r="K16" s="39">
        <f>IF(Table7[[#This Row],[SKU]]="","",TabPO[[#This Row],[Price]])</f>
        <v>23900000</v>
      </c>
      <c r="L16" s="39">
        <f>IFERROR(Table7[[#This Row],[Unit]]*Table7[[#This Row],[Cost / Unit]],"")</f>
        <v>47800000</v>
      </c>
      <c r="M16" s="38">
        <f>IF(Table7[[#This Row],[SKU]]="","",MIN(Table7[[#This Row],[Unit]],SUMIF(Sales!$F$5:$F$111,Table7[[#This Row],[SKU]],Sales!$H$5:$H$111)-SUMIF($H$5:H15,H16,$M$5:M15)))</f>
        <v>2</v>
      </c>
      <c r="N16" s="35">
        <f>IF(Table7[[#This Row],[SKU]]="","",Table7[[#This Row],[Unit]]-Table7[[#This Row],[Unit Sold]])</f>
        <v>0</v>
      </c>
      <c r="O16" s="34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AP-0002-13</v>
      </c>
      <c r="B17" t="str">
        <f>IF('Product Item'!D:D="","",'Product Item'!G:G)</f>
        <v>Apple Iphone 15 Pro 256GB</v>
      </c>
      <c r="C17" s="36">
        <f>IF(Table6[[#This Row],[SKU]]="","",SUMIF(Table7[SKU],'FIFO COGS'!A17,Table7[Stock Available]))</f>
        <v>0</v>
      </c>
      <c r="D17" s="37">
        <f>IF(A17="","",SUMIF(Table7[SKU],'FIFO COGS'!A17,Table7[Value]))</f>
        <v>0</v>
      </c>
      <c r="F17" s="42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40">
        <f>IF(Table7[[#This Row],[Invoice]]="","",TabPO[[#This Row],[Order]])</f>
        <v>1</v>
      </c>
      <c r="K17" s="39">
        <f>IF(Table7[[#This Row],[SKU]]="","",TabPO[[#This Row],[Price]])</f>
        <v>40000000</v>
      </c>
      <c r="L17" s="39">
        <f>IFERROR(Table7[[#This Row],[Unit]]*Table7[[#This Row],[Cost / Unit]],"")</f>
        <v>40000000</v>
      </c>
      <c r="M17" s="38">
        <f>IF(Table7[[#This Row],[SKU]]="","",MIN(Table7[[#This Row],[Unit]],SUMIF(Sales!$F$5:$F$111,Table7[[#This Row],[SKU]],Sales!$H$5:$H$111)-SUMIF($H$5:H16,H17,$M$5:M16)))</f>
        <v>0</v>
      </c>
      <c r="N17" s="35">
        <f>IF(Table7[[#This Row],[SKU]]="","",Table7[[#This Row],[Unit]]-Table7[[#This Row],[Unit Sold]])</f>
        <v>1</v>
      </c>
      <c r="O17" s="34">
        <f>IF(Table7[[#This Row],[SKU]]="","",Table7[[#This Row],[Stock Available]]*Table7[[#This Row],[Cost / Unit]])</f>
        <v>40000000</v>
      </c>
    </row>
    <row r="18" spans="1:15">
      <c r="A18" t="str">
        <f>IF('Product Item'!D:D="","",'Product Item'!D:D)</f>
        <v>PH-0004-14</v>
      </c>
      <c r="B18" t="str">
        <f>IF('Product Item'!D:D="","",'Product Item'!G:G)</f>
        <v>Philips Hue Desk Lamp</v>
      </c>
      <c r="C18" s="36">
        <f>IF(Table6[[#This Row],[SKU]]="","",SUMIF(Table7[SKU],'FIFO COGS'!A18,Table7[Stock Available]))</f>
        <v>0</v>
      </c>
      <c r="D18" s="37">
        <f>IF(A18="","",SUMIF(Table7[SKU],'FIFO COGS'!A18,Table7[Value]))</f>
        <v>0</v>
      </c>
      <c r="F18" s="42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40">
        <f>IF(Table7[[#This Row],[Invoice]]="","",TabPO[[#This Row],[Order]])</f>
        <v>10</v>
      </c>
      <c r="K18" s="39">
        <f>IF(Table7[[#This Row],[SKU]]="","",TabPO[[#This Row],[Price]])</f>
        <v>7500000</v>
      </c>
      <c r="L18" s="39">
        <f>IFERROR(Table7[[#This Row],[Unit]]*Table7[[#This Row],[Cost / Unit]],"")</f>
        <v>75000000</v>
      </c>
      <c r="M18" s="38">
        <f>IF(Table7[[#This Row],[SKU]]="","",MIN(Table7[[#This Row],[Unit]],SUMIF(Sales!$F$5:$F$111,Table7[[#This Row],[SKU]],Sales!$H$5:$H$111)-SUMIF($H$5:H17,H18,$M$5:M17)))</f>
        <v>2</v>
      </c>
      <c r="N18" s="35">
        <f>IF(Table7[[#This Row],[SKU]]="","",Table7[[#This Row],[Unit]]-Table7[[#This Row],[Unit Sold]])</f>
        <v>8</v>
      </c>
      <c r="O18" s="34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SA-0005-15</v>
      </c>
      <c r="B19" t="str">
        <f>IF('Product Item'!D:D="","",'Product Item'!G:G)</f>
        <v>Samsung Desk Speaker</v>
      </c>
      <c r="C19" s="36">
        <f>IF(Table6[[#This Row],[SKU]]="","",SUMIF(Table7[SKU],'FIFO COGS'!A19,Table7[Stock Available]))</f>
        <v>0</v>
      </c>
      <c r="D19" s="37">
        <f>IF(A19="","",SUMIF(Table7[SKU],'FIFO COGS'!A19,Table7[Value]))</f>
        <v>0</v>
      </c>
      <c r="F19" s="42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40">
        <f>IF(Table7[[#This Row],[Invoice]]="","",TabPO[[#This Row],[Order]])</f>
        <v>5</v>
      </c>
      <c r="K19" s="39">
        <f>IF(Table7[[#This Row],[SKU]]="","",TabPO[[#This Row],[Price]])</f>
        <v>8000000</v>
      </c>
      <c r="L19" s="39">
        <f>IFERROR(Table7[[#This Row],[Unit]]*Table7[[#This Row],[Cost / Unit]],"")</f>
        <v>40000000</v>
      </c>
      <c r="M19" s="38">
        <f>IF(Table7[[#This Row],[SKU]]="","",MIN(Table7[[#This Row],[Unit]],SUMIF(Sales!$F$5:$F$111,Table7[[#This Row],[SKU]],Sales!$H$5:$H$111)-SUMIF($H$5:H18,H19,$M$5:M18)))</f>
        <v>0</v>
      </c>
      <c r="N19" s="35">
        <f>IF(Table7[[#This Row],[SKU]]="","",Table7[[#This Row],[Unit]]-Table7[[#This Row],[Unit Sold]])</f>
        <v>5</v>
      </c>
      <c r="O19" s="34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AP-0002-16</v>
      </c>
      <c r="B20" t="str">
        <f>IF('Product Item'!D:D="","",'Product Item'!G:G)</f>
        <v>Apple 13 Pro 128GB Blue</v>
      </c>
      <c r="C20" s="36">
        <f>IF(Table6[[#This Row],[SKU]]="","",SUMIF(Table7[SKU],'FIFO COGS'!A20,Table7[Stock Available]))</f>
        <v>0</v>
      </c>
      <c r="D20" s="37">
        <f>IF(A20="","",SUMIF(Table7[SKU],'FIFO COGS'!A20,Table7[Value]))</f>
        <v>0</v>
      </c>
      <c r="F20" s="42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40">
        <f>IF(Table7[[#This Row],[Invoice]]="","",TabPO[[#This Row],[Order]])</f>
        <v>20</v>
      </c>
      <c r="K20" s="39">
        <f>IF(Table7[[#This Row],[SKU]]="","",TabPO[[#This Row],[Price]])</f>
        <v>7000000</v>
      </c>
      <c r="L20" s="39">
        <f>IFERROR(Table7[[#This Row],[Unit]]*Table7[[#This Row],[Cost / Unit]],"")</f>
        <v>140000000</v>
      </c>
      <c r="M20" s="38">
        <f>IF(Table7[[#This Row],[SKU]]="","",MIN(Table7[[#This Row],[Unit]],SUMIF(Sales!$F$5:$F$111,Table7[[#This Row],[SKU]],Sales!$H$5:$H$111)-SUMIF($H$5:H19,H20,$M$5:M19)))</f>
        <v>0</v>
      </c>
      <c r="N20" s="35">
        <f>IF(Table7[[#This Row],[SKU]]="","",Table7[[#This Row],[Unit]]-Table7[[#This Row],[Unit Sold]])</f>
        <v>20</v>
      </c>
      <c r="O20" s="34">
        <f>IF(Table7[[#This Row],[SKU]]="","",Table7[[#This Row],[Stock Available]]*Table7[[#This Row],[Cost / Unit]])</f>
        <v>140000000</v>
      </c>
    </row>
    <row r="21" spans="1:15">
      <c r="A21" t="str">
        <f>IF('Product Item'!D:D="","",'Product Item'!D:D)</f>
        <v>PH-0004-17</v>
      </c>
      <c r="B21" t="str">
        <f>IF('Product Item'!D:D="","",'Product Item'!G:G)</f>
        <v>Philips Zen 8</v>
      </c>
      <c r="C21" s="36">
        <f>IF(Table6[[#This Row],[SKU]]="","",SUMIF(Table7[SKU],'FIFO COGS'!A21,Table7[Stock Available]))</f>
        <v>18</v>
      </c>
      <c r="D21" s="37">
        <f>IF(A21="","",SUMIF(Table7[SKU],'FIFO COGS'!A21,Table7[Value]))</f>
        <v>5778000</v>
      </c>
      <c r="F21" s="42">
        <f>IF(Table7[[#This Row],[Invoice]]="","",TabPO[[#This Row],[Tanggal]])</f>
        <v>45459</v>
      </c>
      <c r="G21" t="str">
        <f>TabPO[[#This Row],[No Invoice]]</f>
        <v>16062416-VEN-007-PH-0004-17</v>
      </c>
      <c r="H21" t="str">
        <f>IF(Table7[[#This Row],[Invoice]]="","",TabPO[[#This Row],[SKU]])</f>
        <v>PH-0004-17</v>
      </c>
      <c r="I21" t="str">
        <f>IF(Table7[[#This Row],[Invoice]]="","",TabPO[[#This Row],[Product Name]])</f>
        <v>Philips Zen 8</v>
      </c>
      <c r="J21" s="40">
        <f>IF(Table7[[#This Row],[Invoice]]="","",TabPO[[#This Row],[Order]])</f>
        <v>30</v>
      </c>
      <c r="K21" s="39">
        <f>IF(Table7[[#This Row],[SKU]]="","",TabPO[[#This Row],[Price]])</f>
        <v>321000</v>
      </c>
      <c r="L21" s="39">
        <f>IFERROR(Table7[[#This Row],[Unit]]*Table7[[#This Row],[Cost / Unit]],"")</f>
        <v>9630000</v>
      </c>
      <c r="M21" s="38">
        <f>IF(Table7[[#This Row],[SKU]]="","",MIN(Table7[[#This Row],[Unit]],SUMIF(Sales!$F$5:$F$111,Table7[[#This Row],[SKU]],Sales!$H$5:$H$111)-SUMIF($H$5:H20,H21,$M$5:M20)))</f>
        <v>12</v>
      </c>
      <c r="N21" s="35">
        <f>IF(Table7[[#This Row],[SKU]]="","",Table7[[#This Row],[Unit]]-Table7[[#This Row],[Unit Sold]])</f>
        <v>18</v>
      </c>
      <c r="O21" s="34">
        <f>IF(Table7[[#This Row],[SKU]]="","",Table7[[#This Row],[Stock Available]]*Table7[[#This Row],[Cost / Unit]])</f>
        <v>5778000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6">
        <f>IF(Table6[[#This Row],[SKU]]="","",SUMIF(Table7[SKU],'FIFO COGS'!A22,Table7[Stock Available]))</f>
        <v>8</v>
      </c>
      <c r="D22" s="37">
        <f>IF(A22="","",SUMIF(Table7[SKU],'FIFO COGS'!A22,Table7[Value]))</f>
        <v>60000000</v>
      </c>
      <c r="F22" s="42" t="str">
        <f>IF(Table7[[#This Row],[Invoice]]="","",TabPO[[#This Row],[Tanggal]])</f>
        <v/>
      </c>
      <c r="G22" t="str">
        <f>TabPO[[#This Row],[No Invoice]]</f>
        <v/>
      </c>
      <c r="H22" t="str">
        <f>IF(Table7[[#This Row],[Invoice]]="","",TabPO[[#This Row],[SKU]])</f>
        <v/>
      </c>
      <c r="I22" t="str">
        <f>IF(Table7[[#This Row],[Invoice]]="","",TabPO[[#This Row],[Product Name]])</f>
        <v/>
      </c>
      <c r="J22" s="40" t="str">
        <f>IF(Table7[[#This Row],[Invoice]]="","",TabPO[[#This Row],[Order]])</f>
        <v/>
      </c>
      <c r="K22" s="39" t="str">
        <f>IF(Table7[[#This Row],[SKU]]="","",TabPO[[#This Row],[Price]])</f>
        <v/>
      </c>
      <c r="L22" s="39" t="str">
        <f>IFERROR(Table7[[#This Row],[Unit]]*Table7[[#This Row],[Cost / Unit]],"")</f>
        <v/>
      </c>
      <c r="M22" s="38" t="str">
        <f>IF(Table7[[#This Row],[SKU]]="","",MIN(Table7[[#This Row],[Unit]],SUMIF(Sales!$F$5:$F$111,Table7[[#This Row],[SKU]],Sales!$H$5:$H$111)-SUMIF($H$5:H21,H22,$M$5:M21)))</f>
        <v/>
      </c>
      <c r="N22" s="35" t="str">
        <f>IF(Table7[[#This Row],[SKU]]="","",Table7[[#This Row],[Unit]]-Table7[[#This Row],[Unit Sold]])</f>
        <v/>
      </c>
      <c r="O22" s="34" t="str">
        <f>IF(Table7[[#This Row],[SKU]]="","",Table7[[#This Row],[Stock Available]]*Table7[[#This Row],[Cost / Unit]])</f>
        <v/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6">
        <f>IF(Table6[[#This Row],[SKU]]="","",SUMIF(Table7[SKU],'FIFO COGS'!A23,Table7[Stock Available]))</f>
        <v>0</v>
      </c>
      <c r="D23" s="37">
        <f>IF(A23="","",SUMIF(Table7[SKU],'FIFO COGS'!A23,Table7[Value]))</f>
        <v>0</v>
      </c>
      <c r="F23" s="42" t="str">
        <f>IF(Table7[[#This Row],[Invoice]]="","",TabPO[[#This Row],[Tanggal]])</f>
        <v/>
      </c>
      <c r="G23" t="str">
        <f>TabPO[[#This Row],[No Invoice]]</f>
        <v/>
      </c>
      <c r="H23" t="str">
        <f>IF(Table7[[#This Row],[Invoice]]="","",TabPO[[#This Row],[SKU]])</f>
        <v/>
      </c>
      <c r="I23" t="str">
        <f>IF(Table7[[#This Row],[Invoice]]="","",TabPO[[#This Row],[Product Name]])</f>
        <v/>
      </c>
      <c r="J23" s="40" t="str">
        <f>IF(Table7[[#This Row],[Invoice]]="","",TabPO[[#This Row],[Order]])</f>
        <v/>
      </c>
      <c r="K23" s="39" t="str">
        <f>IF(Table7[[#This Row],[SKU]]="","",TabPO[[#This Row],[Price]])</f>
        <v/>
      </c>
      <c r="L23" s="39" t="str">
        <f>IFERROR(Table7[[#This Row],[Unit]]*Table7[[#This Row],[Cost / Unit]],"")</f>
        <v/>
      </c>
      <c r="M23" s="38" t="str">
        <f>IF(Table7[[#This Row],[SKU]]="","",MIN(Table7[[#This Row],[Unit]],SUMIF(Sales!$F$5:$F$111,Table7[[#This Row],[SKU]],Sales!$H$5:$H$111)-SUMIF($H$5:H22,H23,$M$5:M22)))</f>
        <v/>
      </c>
      <c r="N23" s="35" t="str">
        <f>IF(Table7[[#This Row],[SKU]]="","",Table7[[#This Row],[Unit]]-Table7[[#This Row],[Unit Sold]])</f>
        <v/>
      </c>
      <c r="O23" s="34" t="str">
        <f>IF(Table7[[#This Row],[SKU]]="","",Table7[[#This Row],[Stock Available]]*Table7[[#This Row],[Cost / Unit]])</f>
        <v/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6">
        <f>IF(Table6[[#This Row],[SKU]]="","",SUMIF(Table7[SKU],'FIFO COGS'!A24,Table7[Stock Available]))</f>
        <v>0</v>
      </c>
      <c r="D24" s="37">
        <f>IF(A24="","",SUMIF(Table7[SKU],'FIFO COGS'!A24,Table7[Value]))</f>
        <v>0</v>
      </c>
      <c r="F24" s="42" t="str">
        <f>IF(Table7[[#This Row],[Invoice]]="","",TabPO[[#This Row],[Tanggal]])</f>
        <v/>
      </c>
      <c r="G24" t="str">
        <f>TabPO[[#This Row],[No Invoice]]</f>
        <v/>
      </c>
      <c r="H24" t="str">
        <f>IF(Table7[[#This Row],[Invoice]]="","",TabPO[[#This Row],[SKU]])</f>
        <v/>
      </c>
      <c r="I24" t="str">
        <f>IF(Table7[[#This Row],[Invoice]]="","",TabPO[[#This Row],[Product Name]])</f>
        <v/>
      </c>
      <c r="J24" s="40" t="str">
        <f>IF(Table7[[#This Row],[Invoice]]="","",TabPO[[#This Row],[Order]])</f>
        <v/>
      </c>
      <c r="K24" s="39" t="str">
        <f>IF(Table7[[#This Row],[SKU]]="","",TabPO[[#This Row],[Price]])</f>
        <v/>
      </c>
      <c r="L24" s="39" t="str">
        <f>IFERROR(Table7[[#This Row],[Unit]]*Table7[[#This Row],[Cost / Unit]],"")</f>
        <v/>
      </c>
      <c r="M24" s="38" t="str">
        <f>IF(Table7[[#This Row],[SKU]]="","",MIN(Table7[[#This Row],[Unit]],SUMIF(Sales!$F$5:$F$111,Table7[[#This Row],[SKU]],Sales!$H$5:$H$111)-SUMIF($H$5:H23,H24,$M$5:M23)))</f>
        <v/>
      </c>
      <c r="N24" s="35" t="str">
        <f>IF(Table7[[#This Row],[SKU]]="","",Table7[[#This Row],[Unit]]-Table7[[#This Row],[Unit Sold]])</f>
        <v/>
      </c>
      <c r="O24" s="34" t="str">
        <f>IF(Table7[[#This Row],[SKU]]="","",Table7[[#This Row],[Stock Available]]*Table7[[#This Row],[Cost / Unit]])</f>
        <v/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6">
        <f>IF(Table6[[#This Row],[SKU]]="","",SUMIF(Table7[SKU],'FIFO COGS'!A25,Table7[Stock Available]))</f>
        <v>0</v>
      </c>
      <c r="D25" s="37">
        <f>IF(A25="","",SUMIF(Table7[SKU],'FIFO COGS'!A25,Table7[Value]))</f>
        <v>0</v>
      </c>
      <c r="F25" s="42" t="str">
        <f>IF(Table7[[#This Row],[Invoice]]="","",TabPO[[#This Row],[Tanggal]])</f>
        <v/>
      </c>
      <c r="G25" t="str">
        <f>TabPO[[#This Row],[No Invoice]]</f>
        <v/>
      </c>
      <c r="H25" t="str">
        <f>IF(Table7[[#This Row],[Invoice]]="","",TabPO[[#This Row],[SKU]])</f>
        <v/>
      </c>
      <c r="I25" t="str">
        <f>IF(Table7[[#This Row],[Invoice]]="","",TabPO[[#This Row],[Product Name]])</f>
        <v/>
      </c>
      <c r="J25" s="40" t="str">
        <f>IF(Table7[[#This Row],[Invoice]]="","",TabPO[[#This Row],[Order]])</f>
        <v/>
      </c>
      <c r="K25" s="39" t="str">
        <f>IF(Table7[[#This Row],[SKU]]="","",TabPO[[#This Row],[Price]])</f>
        <v/>
      </c>
      <c r="L25" s="39" t="str">
        <f>IFERROR(Table7[[#This Row],[Unit]]*Table7[[#This Row],[Cost / Unit]],"")</f>
        <v/>
      </c>
      <c r="M25" s="38" t="str">
        <f>IF(Table7[[#This Row],[SKU]]="","",MIN(Table7[[#This Row],[Unit]],SUMIF(Sales!$F$5:$F$111,Table7[[#This Row],[SKU]],Sales!$H$5:$H$111)-SUMIF($H$5:H24,H25,$M$5:M24)))</f>
        <v/>
      </c>
      <c r="N25" s="35" t="str">
        <f>IF(Table7[[#This Row],[SKU]]="","",Table7[[#This Row],[Unit]]-Table7[[#This Row],[Unit Sold]])</f>
        <v/>
      </c>
      <c r="O25" s="34" t="str">
        <f>IF(Table7[[#This Row],[SKU]]="","",Table7[[#This Row],[Stock Available]]*Table7[[#This Row],[Cost / Unit]])</f>
        <v/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6">
        <f>IF(Table6[[#This Row],[SKU]]="","",SUMIF(Table7[SKU],'FIFO COGS'!A26,Table7[Stock Available]))</f>
        <v>0</v>
      </c>
      <c r="D26" s="37">
        <f>IF(A26="","",SUMIF(Table7[SKU],'FIFO COGS'!A26,Table7[Value]))</f>
        <v>0</v>
      </c>
      <c r="F26" s="42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40" t="str">
        <f>IF(Table7[[#This Row],[Invoice]]="","",TabPO[[#This Row],[Order]])</f>
        <v/>
      </c>
      <c r="K26" s="39" t="str">
        <f>IF(Table7[[#This Row],[SKU]]="","",TabPO[[#This Row],[Price]])</f>
        <v/>
      </c>
      <c r="L26" s="39" t="str">
        <f>IFERROR(Table7[[#This Row],[Unit]]*Table7[[#This Row],[Cost / Unit]],"")</f>
        <v/>
      </c>
      <c r="M26" s="38" t="str">
        <f>IF(Table7[[#This Row],[SKU]]="","",MIN(Table7[[#This Row],[Unit]],SUMIF(Sales!$F$5:$F$111,Table7[[#This Row],[SKU]],Sales!$H$5:$H$111)-SUMIF($H$5:H25,H26,$M$5:M25)))</f>
        <v/>
      </c>
      <c r="N26" s="35" t="str">
        <f>IF(Table7[[#This Row],[SKU]]="","",Table7[[#This Row],[Unit]]-Table7[[#This Row],[Unit Sold]])</f>
        <v/>
      </c>
      <c r="O26" s="34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6">
        <f>IF(Table6[[#This Row],[SKU]]="","",SUMIF(Table7[SKU],'FIFO COGS'!A27,Table7[Stock Available]))</f>
        <v>5</v>
      </c>
      <c r="D27" s="37">
        <f>IF(A27="","",SUMIF(Table7[SKU],'FIFO COGS'!A27,Table7[Value]))</f>
        <v>40000000</v>
      </c>
      <c r="F27" s="42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40" t="str">
        <f>IF(Table7[[#This Row],[Invoice]]="","",TabPO[[#This Row],[Order]])</f>
        <v/>
      </c>
      <c r="K27" s="39" t="str">
        <f>IF(Table7[[#This Row],[SKU]]="","",TabPO[[#This Row],[Price]])</f>
        <v/>
      </c>
      <c r="L27" s="39" t="str">
        <f>IFERROR(Table7[[#This Row],[Unit]]*Table7[[#This Row],[Cost / Unit]],"")</f>
        <v/>
      </c>
      <c r="M27" s="38" t="str">
        <f>IF(Table7[[#This Row],[SKU]]="","",MIN(Table7[[#This Row],[Unit]],SUMIF(Sales!$F$5:$F$111,Table7[[#This Row],[SKU]],Sales!$H$5:$H$111)-SUMIF($H$5:H26,H27,$M$5:M26)))</f>
        <v/>
      </c>
      <c r="N27" s="35" t="str">
        <f>IF(Table7[[#This Row],[SKU]]="","",Table7[[#This Row],[Unit]]-Table7[[#This Row],[Unit Sold]])</f>
        <v/>
      </c>
      <c r="O27" s="34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6">
        <f>IF(Table6[[#This Row],[SKU]]="","",SUMIF(Table7[SKU],'FIFO COGS'!A28,Table7[Stock Available]))</f>
        <v>0</v>
      </c>
      <c r="D28" s="37">
        <f>IF(A28="","",SUMIF(Table7[SKU],'FIFO COGS'!A28,Table7[Value]))</f>
        <v>0</v>
      </c>
      <c r="F28" s="42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40" t="str">
        <f>IF(Table7[[#This Row],[Invoice]]="","",TabPO[[#This Row],[Order]])</f>
        <v/>
      </c>
      <c r="K28" s="39" t="str">
        <f>IF(Table7[[#This Row],[SKU]]="","",TabPO[[#This Row],[Price]])</f>
        <v/>
      </c>
      <c r="L28" s="39" t="str">
        <f>IFERROR(Table7[[#This Row],[Unit]]*Table7[[#This Row],[Cost / Unit]],"")</f>
        <v/>
      </c>
      <c r="M28" s="38" t="str">
        <f>IF(Table7[[#This Row],[SKU]]="","",MIN(Table7[[#This Row],[Unit]],SUMIF(Sales!$F$5:$F$111,Table7[[#This Row],[SKU]],Sales!$H$5:$H$111)-SUMIF($H$5:H27,H28,$M$5:M27)))</f>
        <v/>
      </c>
      <c r="N28" s="35" t="str">
        <f>IF(Table7[[#This Row],[SKU]]="","",Table7[[#This Row],[Unit]]-Table7[[#This Row],[Unit Sold]])</f>
        <v/>
      </c>
      <c r="O28" s="34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6">
        <f>IF(Table6[[#This Row],[SKU]]="","",SUMIF(Table7[SKU],'FIFO COGS'!A29,Table7[Stock Available]))</f>
        <v>20</v>
      </c>
      <c r="D29" s="37">
        <f>IF(A29="","",SUMIF(Table7[SKU],'FIFO COGS'!A29,Table7[Value]))</f>
        <v>140000000</v>
      </c>
      <c r="F29" s="42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40" t="str">
        <f>IF(Table7[[#This Row],[Invoice]]="","",TabPO[[#This Row],[Order]])</f>
        <v/>
      </c>
      <c r="K29" s="39" t="str">
        <f>IF(Table7[[#This Row],[SKU]]="","",TabPO[[#This Row],[Price]])</f>
        <v/>
      </c>
      <c r="L29" s="39" t="str">
        <f>IFERROR(Table7[[#This Row],[Unit]]*Table7[[#This Row],[Cost / Unit]],"")</f>
        <v/>
      </c>
      <c r="M29" s="38" t="str">
        <f>IF(Table7[[#This Row],[SKU]]="","",MIN(Table7[[#This Row],[Unit]],SUMIF(Sales!$F$5:$F$111,Table7[[#This Row],[SKU]],Sales!$H$5:$H$111)-SUMIF($H$5:H28,H29,$M$5:M28)))</f>
        <v/>
      </c>
      <c r="N29" s="35" t="str">
        <f>IF(Table7[[#This Row],[SKU]]="","",Table7[[#This Row],[Unit]]-Table7[[#This Row],[Unit Sold]])</f>
        <v/>
      </c>
      <c r="O29" s="34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/>
      </c>
      <c r="B30" t="str">
        <f>IF('Product Item'!D:D="","",'Product Item'!G:G)</f>
        <v/>
      </c>
      <c r="C30" s="36" t="str">
        <f>IF(Table6[[#This Row],[SKU]]="","",SUMIF(Table7[SKU],'FIFO COGS'!A30,Table7[Stock Available]))</f>
        <v/>
      </c>
      <c r="D30" s="37" t="str">
        <f>IF(A30="","",SUMIF(Table7[SKU],'FIFO COGS'!A30,Table7[Value]))</f>
        <v/>
      </c>
      <c r="F30" s="42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40" t="str">
        <f>IF(Table7[[#This Row],[Invoice]]="","",TabPO[[#This Row],[Order]])</f>
        <v/>
      </c>
      <c r="K30" s="39" t="str">
        <f>IF(Table7[[#This Row],[SKU]]="","",TabPO[[#This Row],[Price]])</f>
        <v/>
      </c>
      <c r="L30" s="39" t="str">
        <f>IFERROR(Table7[[#This Row],[Unit]]*Table7[[#This Row],[Cost / Unit]],"")</f>
        <v/>
      </c>
      <c r="M30" s="38" t="str">
        <f>IF(Table7[[#This Row],[SKU]]="","",MIN(Table7[[#This Row],[Unit]],SUMIF(Sales!$F$5:$F$111,Table7[[#This Row],[SKU]],Sales!$H$5:$H$111)-SUMIF($H$5:H29,H30,$M$5:M29)))</f>
        <v/>
      </c>
      <c r="N30" s="35" t="str">
        <f>IF(Table7[[#This Row],[SKU]]="","",Table7[[#This Row],[Unit]]-Table7[[#This Row],[Unit Sold]])</f>
        <v/>
      </c>
      <c r="O30" s="34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/>
      </c>
      <c r="B31" t="str">
        <f>IF('Product Item'!D:D="","",'Product Item'!G:G)</f>
        <v/>
      </c>
      <c r="C31" s="36" t="str">
        <f>IF(Table6[[#This Row],[SKU]]="","",SUMIF(Table7[SKU],'FIFO COGS'!A31,Table7[Stock Available]))</f>
        <v/>
      </c>
      <c r="D31" s="37" t="str">
        <f>IF(A31="","",SUMIF(Table7[SKU],'FIFO COGS'!A31,Table7[Value]))</f>
        <v/>
      </c>
      <c r="F31" s="42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40" t="str">
        <f>IF(Table7[[#This Row],[Invoice]]="","",TabPO[[#This Row],[Order]])</f>
        <v/>
      </c>
      <c r="K31" s="39" t="str">
        <f>IF(Table7[[#This Row],[SKU]]="","",TabPO[[#This Row],[Price]])</f>
        <v/>
      </c>
      <c r="L31" s="39" t="str">
        <f>IFERROR(Table7[[#This Row],[Unit]]*Table7[[#This Row],[Cost / Unit]],"")</f>
        <v/>
      </c>
      <c r="M31" s="38" t="str">
        <f>IF(Table7[[#This Row],[SKU]]="","",MIN(Table7[[#This Row],[Unit]],SUMIF(Sales!$F$5:$F$111,Table7[[#This Row],[SKU]],Sales!$H$5:$H$111)-SUMIF($H$5:H30,H31,$M$5:M30)))</f>
        <v/>
      </c>
      <c r="N31" s="35" t="str">
        <f>IF(Table7[[#This Row],[SKU]]="","",Table7[[#This Row],[Unit]]-Table7[[#This Row],[Unit Sold]])</f>
        <v/>
      </c>
      <c r="O31" s="34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/>
      </c>
      <c r="B32" t="str">
        <f>IF('Product Item'!D:D="","",'Product Item'!G:G)</f>
        <v/>
      </c>
      <c r="C32" s="36" t="str">
        <f>IF(Table6[[#This Row],[SKU]]="","",SUMIF(Table7[SKU],'FIFO COGS'!A32,Table7[Stock Available]))</f>
        <v/>
      </c>
      <c r="D32" s="37" t="str">
        <f>IF(A32="","",SUMIF(Table7[SKU],'FIFO COGS'!A32,Table7[Value]))</f>
        <v/>
      </c>
      <c r="F32" s="42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40" t="str">
        <f>IF(Table7[[#This Row],[Invoice]]="","",TabPO[[#This Row],[Order]])</f>
        <v/>
      </c>
      <c r="K32" s="39" t="str">
        <f>IF(Table7[[#This Row],[SKU]]="","",TabPO[[#This Row],[Price]])</f>
        <v/>
      </c>
      <c r="L32" s="39" t="str">
        <f>IFERROR(Table7[[#This Row],[Unit]]*Table7[[#This Row],[Cost / Unit]],"")</f>
        <v/>
      </c>
      <c r="M32" s="38" t="str">
        <f>IF(Table7[[#This Row],[SKU]]="","",MIN(Table7[[#This Row],[Unit]],SUMIF(Sales!$F$5:$F$111,Table7[[#This Row],[SKU]],Sales!$H$5:$H$111)-SUMIF($H$5:H31,H32,$M$5:M31)))</f>
        <v/>
      </c>
      <c r="N32" s="35" t="str">
        <f>IF(Table7[[#This Row],[SKU]]="","",Table7[[#This Row],[Unit]]-Table7[[#This Row],[Unit Sold]])</f>
        <v/>
      </c>
      <c r="O32" s="34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/>
      </c>
      <c r="B33" t="str">
        <f>IF('Product Item'!D:D="","",'Product Item'!G:G)</f>
        <v/>
      </c>
      <c r="C33" s="36" t="str">
        <f>IF(Table6[[#This Row],[SKU]]="","",SUMIF(Table7[SKU],'FIFO COGS'!A33,Table7[Stock Available]))</f>
        <v/>
      </c>
      <c r="D33" s="37" t="str">
        <f>IF(A33="","",SUMIF(Table7[SKU],'FIFO COGS'!A33,Table7[Value]))</f>
        <v/>
      </c>
      <c r="F33" s="42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40" t="str">
        <f>IF(Table7[[#This Row],[Invoice]]="","",TabPO[[#This Row],[Order]])</f>
        <v/>
      </c>
      <c r="K33" s="39" t="str">
        <f>IF(Table7[[#This Row],[SKU]]="","",TabPO[[#This Row],[Price]])</f>
        <v/>
      </c>
      <c r="L33" s="39" t="str">
        <f>IFERROR(Table7[[#This Row],[Unit]]*Table7[[#This Row],[Cost / Unit]],"")</f>
        <v/>
      </c>
      <c r="M33" s="38" t="str">
        <f>IF(Table7[[#This Row],[SKU]]="","",MIN(Table7[[#This Row],[Unit]],SUMIF(Sales!$F$5:$F$111,Table7[[#This Row],[SKU]],Sales!$H$5:$H$111)-SUMIF($H$5:H32,H33,$M$5:M32)))</f>
        <v/>
      </c>
      <c r="N33" s="35" t="str">
        <f>IF(Table7[[#This Row],[SKU]]="","",Table7[[#This Row],[Unit]]-Table7[[#This Row],[Unit Sold]])</f>
        <v/>
      </c>
      <c r="O33" s="34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/>
      </c>
      <c r="B34" t="str">
        <f>IF('Product Item'!D:D="","",'Product Item'!G:G)</f>
        <v/>
      </c>
      <c r="C34" s="36" t="str">
        <f>IF(Table6[[#This Row],[SKU]]="","",SUMIF(Table7[SKU],'FIFO COGS'!A34,Table7[Stock Available]))</f>
        <v/>
      </c>
      <c r="D34" s="37" t="str">
        <f>IF(A34="","",SUMIF(Table7[SKU],'FIFO COGS'!A34,Table7[Value]))</f>
        <v/>
      </c>
      <c r="F34" s="42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40" t="str">
        <f>IF(Table7[[#This Row],[Invoice]]="","",TabPO[[#This Row],[Order]])</f>
        <v/>
      </c>
      <c r="K34" s="39" t="str">
        <f>IF(Table7[[#This Row],[SKU]]="","",TabPO[[#This Row],[Price]])</f>
        <v/>
      </c>
      <c r="L34" s="39" t="str">
        <f>IFERROR(Table7[[#This Row],[Unit]]*Table7[[#This Row],[Cost / Unit]],"")</f>
        <v/>
      </c>
      <c r="M34" s="38" t="str">
        <f>IF(Table7[[#This Row],[SKU]]="","",MIN(Table7[[#This Row],[Unit]],SUMIF(Sales!$F$5:$F$111,Table7[[#This Row],[SKU]],Sales!$H$5:$H$111)-SUMIF($H$5:H33,H34,$M$5:M33)))</f>
        <v/>
      </c>
      <c r="N34" s="35" t="str">
        <f>IF(Table7[[#This Row],[SKU]]="","",Table7[[#This Row],[Unit]]-Table7[[#This Row],[Unit Sold]])</f>
        <v/>
      </c>
      <c r="O34" s="34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/>
      </c>
      <c r="B35" t="str">
        <f>IF('Product Item'!D:D="","",'Product Item'!G:G)</f>
        <v/>
      </c>
      <c r="C35" s="36" t="str">
        <f>IF(Table6[[#This Row],[SKU]]="","",SUMIF(Table7[SKU],'FIFO COGS'!A35,Table7[Stock Available]))</f>
        <v/>
      </c>
      <c r="D35" s="37" t="str">
        <f>IF(A35="","",SUMIF(Table7[SKU],'FIFO COGS'!A35,Table7[Value]))</f>
        <v/>
      </c>
      <c r="F35" s="42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40" t="str">
        <f>IF(Table7[[#This Row],[Invoice]]="","",TabPO[[#This Row],[Order]])</f>
        <v/>
      </c>
      <c r="K35" s="39" t="str">
        <f>IF(Table7[[#This Row],[SKU]]="","",TabPO[[#This Row],[Price]])</f>
        <v/>
      </c>
      <c r="L35" s="39" t="str">
        <f>IFERROR(Table7[[#This Row],[Unit]]*Table7[[#This Row],[Cost / Unit]],"")</f>
        <v/>
      </c>
      <c r="M35" s="38" t="str">
        <f>IF(Table7[[#This Row],[SKU]]="","",MIN(Table7[[#This Row],[Unit]],SUMIF(Sales!$F$5:$F$111,Table7[[#This Row],[SKU]],Sales!$H$5:$H$111)-SUMIF($H$5:H34,H35,$M$5:M34)))</f>
        <v/>
      </c>
      <c r="N35" s="35" t="str">
        <f>IF(Table7[[#This Row],[SKU]]="","",Table7[[#This Row],[Unit]]-Table7[[#This Row],[Unit Sold]])</f>
        <v/>
      </c>
      <c r="O35" s="34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/>
      </c>
      <c r="B36" t="str">
        <f>IF('Product Item'!D:D="","",'Product Item'!G:G)</f>
        <v/>
      </c>
      <c r="C36" s="36" t="str">
        <f>IF(Table6[[#This Row],[SKU]]="","",SUMIF(Table7[SKU],'FIFO COGS'!A36,Table7[Stock Available]))</f>
        <v/>
      </c>
      <c r="D36" s="37" t="str">
        <f>IF(A36="","",SUMIF(Table7[SKU],'FIFO COGS'!A36,Table7[Value]))</f>
        <v/>
      </c>
      <c r="F36" s="42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40" t="str">
        <f>IF(Table7[[#This Row],[Invoice]]="","",TabPO[[#This Row],[Order]])</f>
        <v/>
      </c>
      <c r="K36" s="39" t="str">
        <f>IF(Table7[[#This Row],[SKU]]="","",TabPO[[#This Row],[Price]])</f>
        <v/>
      </c>
      <c r="L36" s="39" t="str">
        <f>IFERROR(Table7[[#This Row],[Unit]]*Table7[[#This Row],[Cost / Unit]],"")</f>
        <v/>
      </c>
      <c r="M36" s="38" t="str">
        <f>IF(Table7[[#This Row],[SKU]]="","",MIN(Table7[[#This Row],[Unit]],SUMIF(Sales!$F$5:$F$111,Table7[[#This Row],[SKU]],Sales!$H$5:$H$111)-SUMIF($H$5:H35,H36,$M$5:M35)))</f>
        <v/>
      </c>
      <c r="N36" s="35" t="str">
        <f>IF(Table7[[#This Row],[SKU]]="","",Table7[[#This Row],[Unit]]-Table7[[#This Row],[Unit Sold]])</f>
        <v/>
      </c>
      <c r="O36" s="34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/>
      </c>
      <c r="B37" t="str">
        <f>IF('Product Item'!D:D="","",'Product Item'!G:G)</f>
        <v/>
      </c>
      <c r="C37" s="36" t="str">
        <f>IF(Table6[[#This Row],[SKU]]="","",SUMIF(Table7[SKU],'FIFO COGS'!A37,Table7[Stock Available]))</f>
        <v/>
      </c>
      <c r="D37" s="37" t="str">
        <f>IF(A37="","",SUMIF(Table7[SKU],'FIFO COGS'!A37,Table7[Value]))</f>
        <v/>
      </c>
      <c r="F37" s="42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40" t="str">
        <f>IF(Table7[[#This Row],[Invoice]]="","",TabPO[[#This Row],[Order]])</f>
        <v/>
      </c>
      <c r="K37" s="39" t="str">
        <f>IF(Table7[[#This Row],[SKU]]="","",TabPO[[#This Row],[Price]])</f>
        <v/>
      </c>
      <c r="L37" s="39" t="str">
        <f>IFERROR(Table7[[#This Row],[Unit]]*Table7[[#This Row],[Cost / Unit]],"")</f>
        <v/>
      </c>
      <c r="M37" s="38" t="str">
        <f>IF(Table7[[#This Row],[SKU]]="","",MIN(Table7[[#This Row],[Unit]],SUMIF(Sales!$F$5:$F$111,Table7[[#This Row],[SKU]],Sales!$H$5:$H$111)-SUMIF($H$5:H36,H37,$M$5:M36)))</f>
        <v/>
      </c>
      <c r="N37" s="35" t="str">
        <f>IF(Table7[[#This Row],[SKU]]="","",Table7[[#This Row],[Unit]]-Table7[[#This Row],[Unit Sold]])</f>
        <v/>
      </c>
      <c r="O37" s="34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/>
      </c>
      <c r="B38" t="str">
        <f>IF('Product Item'!D:D="","",'Product Item'!G:G)</f>
        <v/>
      </c>
      <c r="C38" s="36" t="str">
        <f>IF(Table6[[#This Row],[SKU]]="","",SUMIF(Table7[SKU],'FIFO COGS'!A38,Table7[Stock Available]))</f>
        <v/>
      </c>
      <c r="D38" s="37" t="str">
        <f>IF(A38="","",SUMIF(Table7[SKU],'FIFO COGS'!A38,Table7[Value]))</f>
        <v/>
      </c>
      <c r="F38" s="42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40" t="str">
        <f>IF(Table7[[#This Row],[Invoice]]="","",TabPO[[#This Row],[Order]])</f>
        <v/>
      </c>
      <c r="K38" s="39" t="str">
        <f>IF(Table7[[#This Row],[SKU]]="","",TabPO[[#This Row],[Price]])</f>
        <v/>
      </c>
      <c r="L38" s="39" t="str">
        <f>IFERROR(Table7[[#This Row],[Unit]]*Table7[[#This Row],[Cost / Unit]],"")</f>
        <v/>
      </c>
      <c r="M38" s="38" t="str">
        <f>IF(Table7[[#This Row],[SKU]]="","",MIN(Table7[[#This Row],[Unit]],SUMIF(Sales!$F$5:$F$111,Table7[[#This Row],[SKU]],Sales!$H$5:$H$111)-SUMIF($H$5:H37,H38,$M$5:M37)))</f>
        <v/>
      </c>
      <c r="N38" s="35" t="str">
        <f>IF(Table7[[#This Row],[SKU]]="","",Table7[[#This Row],[Unit]]-Table7[[#This Row],[Unit Sold]])</f>
        <v/>
      </c>
      <c r="O38" s="34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/>
      </c>
      <c r="B39" t="str">
        <f>IF('Product Item'!D:D="","",'Product Item'!G:G)</f>
        <v/>
      </c>
      <c r="C39" s="36" t="str">
        <f>IF(Table6[[#This Row],[SKU]]="","",SUMIF(Table7[SKU],'FIFO COGS'!A39,Table7[Stock Available]))</f>
        <v/>
      </c>
      <c r="D39" s="37" t="str">
        <f>IF(A39="","",SUMIF(Table7[SKU],'FIFO COGS'!A39,Table7[Value]))</f>
        <v/>
      </c>
      <c r="F39" s="42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40" t="str">
        <f>IF(Table7[[#This Row],[Invoice]]="","",TabPO[[#This Row],[Order]])</f>
        <v/>
      </c>
      <c r="K39" s="39" t="str">
        <f>IF(Table7[[#This Row],[SKU]]="","",TabPO[[#This Row],[Price]])</f>
        <v/>
      </c>
      <c r="L39" s="39" t="str">
        <f>IFERROR(Table7[[#This Row],[Unit]]*Table7[[#This Row],[Cost / Unit]],"")</f>
        <v/>
      </c>
      <c r="M39" s="38" t="str">
        <f>IF(Table7[[#This Row],[SKU]]="","",MIN(Table7[[#This Row],[Unit]],SUMIF(Sales!$F$5:$F$111,Table7[[#This Row],[SKU]],Sales!$H$5:$H$111)-SUMIF($H$5:H38,H39,$M$5:M38)))</f>
        <v/>
      </c>
      <c r="N39" s="35" t="str">
        <f>IF(Table7[[#This Row],[SKU]]="","",Table7[[#This Row],[Unit]]-Table7[[#This Row],[Unit Sold]])</f>
        <v/>
      </c>
      <c r="O39" s="34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/>
      </c>
      <c r="B40" t="str">
        <f>IF('Product Item'!D:D="","",'Product Item'!G:G)</f>
        <v/>
      </c>
      <c r="C40" s="36" t="str">
        <f>IF(Table6[[#This Row],[SKU]]="","",SUMIF(Table7[SKU],'FIFO COGS'!A40,Table7[Stock Available]))</f>
        <v/>
      </c>
      <c r="D40" s="37" t="str">
        <f>IF(A40="","",SUMIF(Table7[SKU],'FIFO COGS'!A40,Table7[Value]))</f>
        <v/>
      </c>
      <c r="F40" s="42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40" t="str">
        <f>IF(Table7[[#This Row],[Invoice]]="","",TabPO[[#This Row],[Order]])</f>
        <v/>
      </c>
      <c r="K40" s="39" t="str">
        <f>IF(Table7[[#This Row],[SKU]]="","",TabPO[[#This Row],[Price]])</f>
        <v/>
      </c>
      <c r="L40" s="39" t="str">
        <f>IFERROR(Table7[[#This Row],[Unit]]*Table7[[#This Row],[Cost / Unit]],"")</f>
        <v/>
      </c>
      <c r="M40" s="38" t="str">
        <f>IF(Table7[[#This Row],[SKU]]="","",MIN(Table7[[#This Row],[Unit]],SUMIF(Sales!$F$5:$F$111,Table7[[#This Row],[SKU]],Sales!$H$5:$H$111)-SUMIF($H$5:H39,H40,$M$5:M39)))</f>
        <v/>
      </c>
      <c r="N40" s="35" t="str">
        <f>IF(Table7[[#This Row],[SKU]]="","",Table7[[#This Row],[Unit]]-Table7[[#This Row],[Unit Sold]])</f>
        <v/>
      </c>
      <c r="O40" s="34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/>
      </c>
      <c r="B41" t="str">
        <f>IF('Product Item'!D:D="","",'Product Item'!G:G)</f>
        <v/>
      </c>
      <c r="C41" s="36" t="str">
        <f>IF(Table6[[#This Row],[SKU]]="","",SUMIF(Table7[SKU],'FIFO COGS'!A41,Table7[Stock Available]))</f>
        <v/>
      </c>
      <c r="D41" s="37" t="str">
        <f>IF(A41="","",SUMIF(Table7[SKU],'FIFO COGS'!A41,Table7[Value]))</f>
        <v/>
      </c>
      <c r="F41" s="42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40" t="str">
        <f>IF(Table7[[#This Row],[Invoice]]="","",TabPO[[#This Row],[Order]])</f>
        <v/>
      </c>
      <c r="K41" s="39" t="str">
        <f>IF(Table7[[#This Row],[SKU]]="","",TabPO[[#This Row],[Price]])</f>
        <v/>
      </c>
      <c r="L41" s="39" t="str">
        <f>IFERROR(Table7[[#This Row],[Unit]]*Table7[[#This Row],[Cost / Unit]],"")</f>
        <v/>
      </c>
      <c r="M41" s="38" t="str">
        <f>IF(Table7[[#This Row],[SKU]]="","",MIN(Table7[[#This Row],[Unit]],SUMIF(Sales!$F$5:$F$111,Table7[[#This Row],[SKU]],Sales!$H$5:$H$111)-SUMIF($H$5:H40,H41,$M$5:M40)))</f>
        <v/>
      </c>
      <c r="N41" s="35" t="str">
        <f>IF(Table7[[#This Row],[SKU]]="","",Table7[[#This Row],[Unit]]-Table7[[#This Row],[Unit Sold]])</f>
        <v/>
      </c>
      <c r="O41" s="34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/>
      </c>
      <c r="B42" t="str">
        <f>IF('Product Item'!D:D="","",'Product Item'!G:G)</f>
        <v/>
      </c>
      <c r="C42" s="36" t="str">
        <f>IF(Table6[[#This Row],[SKU]]="","",SUMIF(Table7[SKU],'FIFO COGS'!A42,Table7[Stock Available]))</f>
        <v/>
      </c>
      <c r="D42" s="37" t="str">
        <f>IF(A42="","",SUMIF(Table7[SKU],'FIFO COGS'!A42,Table7[Value]))</f>
        <v/>
      </c>
      <c r="F42" s="42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40" t="str">
        <f>IF(Table7[[#This Row],[Invoice]]="","",TabPO[[#This Row],[Order]])</f>
        <v/>
      </c>
      <c r="K42" s="39" t="str">
        <f>IF(Table7[[#This Row],[SKU]]="","",TabPO[[#This Row],[Price]])</f>
        <v/>
      </c>
      <c r="L42" s="39" t="str">
        <f>IFERROR(Table7[[#This Row],[Unit]]*Table7[[#This Row],[Cost / Unit]],"")</f>
        <v/>
      </c>
      <c r="M42" s="38" t="str">
        <f>IF(Table7[[#This Row],[SKU]]="","",MIN(Table7[[#This Row],[Unit]],SUMIF(Sales!$F$5:$F$111,Table7[[#This Row],[SKU]],Sales!$H$5:$H$111)-SUMIF($H$5:H41,H42,$M$5:M41)))</f>
        <v/>
      </c>
      <c r="N42" s="35" t="str">
        <f>IF(Table7[[#This Row],[SKU]]="","",Table7[[#This Row],[Unit]]-Table7[[#This Row],[Unit Sold]])</f>
        <v/>
      </c>
      <c r="O42" s="34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/>
      </c>
      <c r="B43" t="str">
        <f>IF('Product Item'!D:D="","",'Product Item'!G:G)</f>
        <v/>
      </c>
      <c r="C43" s="36" t="str">
        <f>IF(Table6[[#This Row],[SKU]]="","",SUMIF(Table7[SKU],'FIFO COGS'!A43,Table7[Stock Available]))</f>
        <v/>
      </c>
      <c r="D43" s="37" t="str">
        <f>IF(A43="","",SUMIF(Table7[SKU],'FIFO COGS'!A43,Table7[Value]))</f>
        <v/>
      </c>
      <c r="F43" s="42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40" t="str">
        <f>IF(Table7[[#This Row],[Invoice]]="","",TabPO[[#This Row],[Order]])</f>
        <v/>
      </c>
      <c r="K43" s="39" t="str">
        <f>IF(Table7[[#This Row],[SKU]]="","",TabPO[[#This Row],[Price]])</f>
        <v/>
      </c>
      <c r="L43" s="39" t="str">
        <f>IFERROR(Table7[[#This Row],[Unit]]*Table7[[#This Row],[Cost / Unit]],"")</f>
        <v/>
      </c>
      <c r="M43" s="38" t="str">
        <f>IF(Table7[[#This Row],[SKU]]="","",MIN(Table7[[#This Row],[Unit]],SUMIF(Sales!$F$5:$F$111,Table7[[#This Row],[SKU]],Sales!$H$5:$H$111)-SUMIF($H$5:H42,H43,$M$5:M42)))</f>
        <v/>
      </c>
      <c r="N43" s="35" t="str">
        <f>IF(Table7[[#This Row],[SKU]]="","",Table7[[#This Row],[Unit]]-Table7[[#This Row],[Unit Sold]])</f>
        <v/>
      </c>
      <c r="O43" s="34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6" t="str">
        <f>IF(Table6[[#This Row],[SKU]]="","",SUMIF(Table7[SKU],'FIFO COGS'!A44,Table7[Stock Available]))</f>
        <v/>
      </c>
      <c r="D44" s="37" t="str">
        <f>IF(A44="","",SUMIF(Table7[SKU],'FIFO COGS'!A44,Table7[Value]))</f>
        <v/>
      </c>
      <c r="F44" s="42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40" t="str">
        <f>IF(Table7[[#This Row],[Invoice]]="","",TabPO[[#This Row],[Order]])</f>
        <v/>
      </c>
      <c r="K44" s="39" t="str">
        <f>IF(Table7[[#This Row],[SKU]]="","",TabPO[[#This Row],[Price]])</f>
        <v/>
      </c>
      <c r="L44" s="39" t="str">
        <f>IFERROR(Table7[[#This Row],[Unit]]*Table7[[#This Row],[Cost / Unit]],"")</f>
        <v/>
      </c>
      <c r="M44" s="38" t="str">
        <f>IF(Table7[[#This Row],[SKU]]="","",MIN(Table7[[#This Row],[Unit]],SUMIF(Sales!$F$5:$F$111,Table7[[#This Row],[SKU]],Sales!$H$5:$H$111)-SUMIF($H$5:H43,H44,$M$5:M43)))</f>
        <v/>
      </c>
      <c r="N44" s="35" t="str">
        <f>IF(Table7[[#This Row],[SKU]]="","",Table7[[#This Row],[Unit]]-Table7[[#This Row],[Unit Sold]])</f>
        <v/>
      </c>
      <c r="O44" s="34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6" t="str">
        <f>IF(Table6[[#This Row],[SKU]]="","",SUMIF(Table7[SKU],'FIFO COGS'!A45,Table7[Stock Available]))</f>
        <v/>
      </c>
      <c r="D45" s="37" t="str">
        <f>IF(A45="","",SUMIF(Table7[SKU],'FIFO COGS'!A45,Table7[Value]))</f>
        <v/>
      </c>
      <c r="F45" s="42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40" t="str">
        <f>IF(Table7[[#This Row],[Invoice]]="","",TabPO[[#This Row],[Order]])</f>
        <v/>
      </c>
      <c r="K45" s="39" t="str">
        <f>IF(Table7[[#This Row],[SKU]]="","",TabPO[[#This Row],[Price]])</f>
        <v/>
      </c>
      <c r="L45" s="39" t="str">
        <f>IFERROR(Table7[[#This Row],[Unit]]*Table7[[#This Row],[Cost / Unit]],"")</f>
        <v/>
      </c>
      <c r="M45" s="38" t="str">
        <f>IF(Table7[[#This Row],[SKU]]="","",MIN(Table7[[#This Row],[Unit]],SUMIF(Sales!$F$5:$F$111,Table7[[#This Row],[SKU]],Sales!$H$5:$H$111)-SUMIF($H$5:H44,H45,$M$5:M44)))</f>
        <v/>
      </c>
      <c r="N45" s="35" t="str">
        <f>IF(Table7[[#This Row],[SKU]]="","",Table7[[#This Row],[Unit]]-Table7[[#This Row],[Unit Sold]])</f>
        <v/>
      </c>
      <c r="O45" s="34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6" t="str">
        <f>IF(Table6[[#This Row],[SKU]]="","",SUMIF(Table7[SKU],'FIFO COGS'!A46,Table7[Stock Available]))</f>
        <v/>
      </c>
      <c r="D46" s="37" t="str">
        <f>IF(A46="","",SUMIF(Table7[SKU],'FIFO COGS'!A46,Table7[Value]))</f>
        <v/>
      </c>
      <c r="F46" s="42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40" t="str">
        <f>IF(Table7[[#This Row],[Invoice]]="","",TabPO[[#This Row],[Order]])</f>
        <v/>
      </c>
      <c r="K46" s="39" t="str">
        <f>IF(Table7[[#This Row],[SKU]]="","",TabPO[[#This Row],[Price]])</f>
        <v/>
      </c>
      <c r="L46" s="39" t="str">
        <f>IFERROR(Table7[[#This Row],[Unit]]*Table7[[#This Row],[Cost / Unit]],"")</f>
        <v/>
      </c>
      <c r="M46" s="38" t="str">
        <f>IF(Table7[[#This Row],[SKU]]="","",MIN(Table7[[#This Row],[Unit]],SUMIF(Sales!$F$5:$F$111,Table7[[#This Row],[SKU]],Sales!$H$5:$H$111)-SUMIF($H$5:H45,H46,$M$5:M45)))</f>
        <v/>
      </c>
      <c r="N46" s="35" t="str">
        <f>IF(Table7[[#This Row],[SKU]]="","",Table7[[#This Row],[Unit]]-Table7[[#This Row],[Unit Sold]])</f>
        <v/>
      </c>
      <c r="O46" s="34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6" t="str">
        <f>IF(Table6[[#This Row],[SKU]]="","",SUMIF(Table7[SKU],'FIFO COGS'!A47,Table7[Stock Available]))</f>
        <v/>
      </c>
      <c r="D47" s="37" t="str">
        <f>IF(A47="","",SUMIF(Table7[SKU],'FIFO COGS'!A47,Table7[Value]))</f>
        <v/>
      </c>
      <c r="F47" s="42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40" t="str">
        <f>IF(Table7[[#This Row],[Invoice]]="","",TabPO[[#This Row],[Order]])</f>
        <v/>
      </c>
      <c r="K47" s="39" t="str">
        <f>IF(Table7[[#This Row],[SKU]]="","",TabPO[[#This Row],[Price]])</f>
        <v/>
      </c>
      <c r="L47" s="39" t="str">
        <f>IFERROR(Table7[[#This Row],[Unit]]*Table7[[#This Row],[Cost / Unit]],"")</f>
        <v/>
      </c>
      <c r="M47" s="38" t="str">
        <f>IF(Table7[[#This Row],[SKU]]="","",MIN(Table7[[#This Row],[Unit]],SUMIF(Sales!$F$5:$F$111,Table7[[#This Row],[SKU]],Sales!$H$5:$H$111)-SUMIF($H$5:H46,H47,$M$5:M46)))</f>
        <v/>
      </c>
      <c r="N47" s="35" t="str">
        <f>IF(Table7[[#This Row],[SKU]]="","",Table7[[#This Row],[Unit]]-Table7[[#This Row],[Unit Sold]])</f>
        <v/>
      </c>
      <c r="O47" s="34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6" t="str">
        <f>IF(Table6[[#This Row],[SKU]]="","",SUMIF(Table7[SKU],'FIFO COGS'!A48,Table7[Stock Available]))</f>
        <v/>
      </c>
      <c r="D48" s="37" t="str">
        <f>IF(A48="","",SUMIF(Table7[SKU],'FIFO COGS'!A48,Table7[Value]))</f>
        <v/>
      </c>
      <c r="F48" s="42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40" t="str">
        <f>IF(Table7[[#This Row],[Invoice]]="","",TabPO[[#This Row],[Order]])</f>
        <v/>
      </c>
      <c r="K48" s="39" t="str">
        <f>IF(Table7[[#This Row],[SKU]]="","",TabPO[[#This Row],[Price]])</f>
        <v/>
      </c>
      <c r="L48" s="39" t="str">
        <f>IFERROR(Table7[[#This Row],[Unit]]*Table7[[#This Row],[Cost / Unit]],"")</f>
        <v/>
      </c>
      <c r="M48" s="38" t="str">
        <f>IF(Table7[[#This Row],[SKU]]="","",MIN(Table7[[#This Row],[Unit]],SUMIF(Sales!$F$5:$F$111,Table7[[#This Row],[SKU]],Sales!$H$5:$H$111)-SUMIF($H$5:H47,H48,$M$5:M47)))</f>
        <v/>
      </c>
      <c r="N48" s="35" t="str">
        <f>IF(Table7[[#This Row],[SKU]]="","",Table7[[#This Row],[Unit]]-Table7[[#This Row],[Unit Sold]])</f>
        <v/>
      </c>
      <c r="O48" s="34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6" t="str">
        <f>IF(Table6[[#This Row],[SKU]]="","",SUMIF(Table7[SKU],'FIFO COGS'!A49,Table7[Stock Available]))</f>
        <v/>
      </c>
      <c r="D49" s="37" t="str">
        <f>IF(A49="","",SUMIF(Table7[SKU],'FIFO COGS'!A49,Table7[Value]))</f>
        <v/>
      </c>
      <c r="F49" s="42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40" t="str">
        <f>IF(Table7[[#This Row],[Invoice]]="","",TabPO[[#This Row],[Order]])</f>
        <v/>
      </c>
      <c r="K49" s="39" t="str">
        <f>IF(Table7[[#This Row],[SKU]]="","",TabPO[[#This Row],[Price]])</f>
        <v/>
      </c>
      <c r="L49" s="39" t="str">
        <f>IFERROR(Table7[[#This Row],[Unit]]*Table7[[#This Row],[Cost / Unit]],"")</f>
        <v/>
      </c>
      <c r="M49" s="38" t="str">
        <f>IF(Table7[[#This Row],[SKU]]="","",MIN(Table7[[#This Row],[Unit]],SUMIF(Sales!$F$5:$F$111,Table7[[#This Row],[SKU]],Sales!$H$5:$H$111)-SUMIF($H$5:H48,H49,$M$5:M48)))</f>
        <v/>
      </c>
      <c r="N49" s="35" t="str">
        <f>IF(Table7[[#This Row],[SKU]]="","",Table7[[#This Row],[Unit]]-Table7[[#This Row],[Unit Sold]])</f>
        <v/>
      </c>
      <c r="O49" s="34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6" t="str">
        <f>IF(Table6[[#This Row],[SKU]]="","",SUMIF(Table7[SKU],'FIFO COGS'!A50,Table7[Stock Available]))</f>
        <v/>
      </c>
      <c r="D50" s="37" t="str">
        <f>IF(A50="","",SUMIF(Table7[SKU],'FIFO COGS'!A50,Table7[Value]))</f>
        <v/>
      </c>
      <c r="F50" s="42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40" t="str">
        <f>IF(Table7[[#This Row],[Invoice]]="","",TabPO[[#This Row],[Order]])</f>
        <v/>
      </c>
      <c r="K50" s="39" t="str">
        <f>IF(Table7[[#This Row],[SKU]]="","",TabPO[[#This Row],[Price]])</f>
        <v/>
      </c>
      <c r="L50" s="39" t="str">
        <f>IFERROR(Table7[[#This Row],[Unit]]*Table7[[#This Row],[Cost / Unit]],"")</f>
        <v/>
      </c>
      <c r="M50" s="38" t="str">
        <f>IF(Table7[[#This Row],[SKU]]="","",MIN(Table7[[#This Row],[Unit]],SUMIF(Sales!$F$5:$F$111,Table7[[#This Row],[SKU]],Sales!$H$5:$H$111)-SUMIF($H$5:H49,H50,$M$5:M49)))</f>
        <v/>
      </c>
      <c r="N50" s="35" t="str">
        <f>IF(Table7[[#This Row],[SKU]]="","",Table7[[#This Row],[Unit]]-Table7[[#This Row],[Unit Sold]])</f>
        <v/>
      </c>
      <c r="O50" s="34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6" t="str">
        <f>IF(Table6[[#This Row],[SKU]]="","",SUMIF(Table7[SKU],'FIFO COGS'!A51,Table7[Stock Available]))</f>
        <v/>
      </c>
      <c r="D51" s="37" t="str">
        <f>IF(A51="","",SUMIF(Table7[SKU],'FIFO COGS'!A51,Table7[Value]))</f>
        <v/>
      </c>
      <c r="F51" s="42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40" t="str">
        <f>IF(Table7[[#This Row],[Invoice]]="","",TabPO[[#This Row],[Order]])</f>
        <v/>
      </c>
      <c r="K51" s="39" t="str">
        <f>IF(Table7[[#This Row],[SKU]]="","",TabPO[[#This Row],[Price]])</f>
        <v/>
      </c>
      <c r="L51" s="39" t="str">
        <f>IFERROR(Table7[[#This Row],[Unit]]*Table7[[#This Row],[Cost / Unit]],"")</f>
        <v/>
      </c>
      <c r="M51" s="38" t="str">
        <f>IF(Table7[[#This Row],[SKU]]="","",MIN(Table7[[#This Row],[Unit]],SUMIF(Sales!$F$5:$F$111,Table7[[#This Row],[SKU]],Sales!$H$5:$H$111)-SUMIF($H$5:H50,H51,$M$5:M50)))</f>
        <v/>
      </c>
      <c r="N51" s="35" t="str">
        <f>IF(Table7[[#This Row],[SKU]]="","",Table7[[#This Row],[Unit]]-Table7[[#This Row],[Unit Sold]])</f>
        <v/>
      </c>
      <c r="O51" s="34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6" t="str">
        <f>IF(Table6[[#This Row],[SKU]]="","",SUMIF(Table7[SKU],'FIFO COGS'!A52,Table7[Stock Available]))</f>
        <v/>
      </c>
      <c r="D52" s="37" t="str">
        <f>IF(A52="","",SUMIF(Table7[SKU],'FIFO COGS'!A52,Table7[Value]))</f>
        <v/>
      </c>
      <c r="F52" s="42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40" t="str">
        <f>IF(Table7[[#This Row],[Invoice]]="","",TabPO[[#This Row],[Order]])</f>
        <v/>
      </c>
      <c r="K52" s="39" t="str">
        <f>IF(Table7[[#This Row],[SKU]]="","",TabPO[[#This Row],[Price]])</f>
        <v/>
      </c>
      <c r="L52" s="39" t="str">
        <f>IFERROR(Table7[[#This Row],[Unit]]*Table7[[#This Row],[Cost / Unit]],"")</f>
        <v/>
      </c>
      <c r="M52" s="38" t="str">
        <f>IF(Table7[[#This Row],[SKU]]="","",MIN(Table7[[#This Row],[Unit]],SUMIF(Sales!$F$5:$F$111,Table7[[#This Row],[SKU]],Sales!$H$5:$H$111)-SUMIF($H$5:H51,H52,$M$5:M51)))</f>
        <v/>
      </c>
      <c r="N52" s="35" t="str">
        <f>IF(Table7[[#This Row],[SKU]]="","",Table7[[#This Row],[Unit]]-Table7[[#This Row],[Unit Sold]])</f>
        <v/>
      </c>
      <c r="O52" s="34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6" t="str">
        <f>IF(Table6[[#This Row],[SKU]]="","",SUMIF(Table7[SKU],'FIFO COGS'!A53,Table7[Stock Available]))</f>
        <v/>
      </c>
      <c r="D53" s="37" t="str">
        <f>IF(A53="","",SUMIF(Table7[SKU],'FIFO COGS'!A53,Table7[Value]))</f>
        <v/>
      </c>
      <c r="F53" s="42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40" t="str">
        <f>IF(Table7[[#This Row],[Invoice]]="","",TabPO[[#This Row],[Order]])</f>
        <v/>
      </c>
      <c r="K53" s="39" t="str">
        <f>IF(Table7[[#This Row],[SKU]]="","",TabPO[[#This Row],[Price]])</f>
        <v/>
      </c>
      <c r="L53" s="39" t="str">
        <f>IFERROR(Table7[[#This Row],[Unit]]*Table7[[#This Row],[Cost / Unit]],"")</f>
        <v/>
      </c>
      <c r="M53" s="38" t="str">
        <f>IF(Table7[[#This Row],[SKU]]="","",MIN(Table7[[#This Row],[Unit]],SUMIF(Sales!$F$5:$F$111,Table7[[#This Row],[SKU]],Sales!$H$5:$H$111)-SUMIF($H$5:H52,H53,$M$5:M52)))</f>
        <v/>
      </c>
      <c r="N53" s="35" t="str">
        <f>IF(Table7[[#This Row],[SKU]]="","",Table7[[#This Row],[Unit]]-Table7[[#This Row],[Unit Sold]])</f>
        <v/>
      </c>
      <c r="O53" s="34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6" t="str">
        <f>IF(Table6[[#This Row],[SKU]]="","",SUMIF(Table7[SKU],'FIFO COGS'!A54,Table7[Stock Available]))</f>
        <v/>
      </c>
      <c r="D54" s="37" t="str">
        <f>IF(A54="","",SUMIF(Table7[SKU],'FIFO COGS'!A54,Table7[Value]))</f>
        <v/>
      </c>
      <c r="F54" s="42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40" t="str">
        <f>IF(Table7[[#This Row],[Invoice]]="","",TabPO[[#This Row],[Order]])</f>
        <v/>
      </c>
      <c r="K54" s="39" t="str">
        <f>IF(Table7[[#This Row],[SKU]]="","",TabPO[[#This Row],[Price]])</f>
        <v/>
      </c>
      <c r="L54" s="39" t="str">
        <f>IFERROR(Table7[[#This Row],[Unit]]*Table7[[#This Row],[Cost / Unit]],"")</f>
        <v/>
      </c>
      <c r="M54" s="38" t="str">
        <f>IF(Table7[[#This Row],[SKU]]="","",MIN(Table7[[#This Row],[Unit]],SUMIF(Sales!$F$5:$F$111,Table7[[#This Row],[SKU]],Sales!$H$5:$H$111)-SUMIF($H$5:H53,H54,$M$5:M53)))</f>
        <v/>
      </c>
      <c r="N54" s="35" t="str">
        <f>IF(Table7[[#This Row],[SKU]]="","",Table7[[#This Row],[Unit]]-Table7[[#This Row],[Unit Sold]])</f>
        <v/>
      </c>
      <c r="O54" s="34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6" t="str">
        <f>IF(Table6[[#This Row],[SKU]]="","",SUMIF(Table7[SKU],'FIFO COGS'!A55,Table7[Stock Available]))</f>
        <v/>
      </c>
      <c r="D55" s="37" t="str">
        <f>IF(A55="","",SUMIF(Table7[SKU],'FIFO COGS'!A55,Table7[Value]))</f>
        <v/>
      </c>
      <c r="F55" s="42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40" t="str">
        <f>IF(Table7[[#This Row],[Invoice]]="","",TabPO[[#This Row],[Order]])</f>
        <v/>
      </c>
      <c r="K55" s="39" t="str">
        <f>IF(Table7[[#This Row],[SKU]]="","",TabPO[[#This Row],[Price]])</f>
        <v/>
      </c>
      <c r="L55" s="39" t="str">
        <f>IFERROR(Table7[[#This Row],[Unit]]*Table7[[#This Row],[Cost / Unit]],"")</f>
        <v/>
      </c>
      <c r="M55" s="38" t="str">
        <f>IF(Table7[[#This Row],[SKU]]="","",MIN(Table7[[#This Row],[Unit]],SUMIF(Sales!$F$5:$F$111,Table7[[#This Row],[SKU]],Sales!$H$5:$H$111)-SUMIF($H$5:H54,H55,$M$5:M54)))</f>
        <v/>
      </c>
      <c r="N55" s="35" t="str">
        <f>IF(Table7[[#This Row],[SKU]]="","",Table7[[#This Row],[Unit]]-Table7[[#This Row],[Unit Sold]])</f>
        <v/>
      </c>
      <c r="O55" s="34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6" t="str">
        <f>IF(Table6[[#This Row],[SKU]]="","",SUMIF(Table7[SKU],'FIFO COGS'!A56,Table7[Stock Available]))</f>
        <v/>
      </c>
      <c r="D56" s="37" t="str">
        <f>IF(A56="","",SUMIF(Table7[SKU],'FIFO COGS'!A56,Table7[Value]))</f>
        <v/>
      </c>
      <c r="F56" s="42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40" t="str">
        <f>IF(Table7[[#This Row],[Invoice]]="","",TabPO[[#This Row],[Order]])</f>
        <v/>
      </c>
      <c r="K56" s="39" t="str">
        <f>IF(Table7[[#This Row],[SKU]]="","",TabPO[[#This Row],[Price]])</f>
        <v/>
      </c>
      <c r="L56" s="39" t="str">
        <f>IFERROR(Table7[[#This Row],[Unit]]*Table7[[#This Row],[Cost / Unit]],"")</f>
        <v/>
      </c>
      <c r="M56" s="38" t="str">
        <f>IF(Table7[[#This Row],[SKU]]="","",MIN(Table7[[#This Row],[Unit]],SUMIF(Sales!$F$5:$F$111,Table7[[#This Row],[SKU]],Sales!$H$5:$H$111)-SUMIF($H$5:H55,H56,$M$5:M55)))</f>
        <v/>
      </c>
      <c r="N56" s="35" t="str">
        <f>IF(Table7[[#This Row],[SKU]]="","",Table7[[#This Row],[Unit]]-Table7[[#This Row],[Unit Sold]])</f>
        <v/>
      </c>
      <c r="O56" s="34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6" t="str">
        <f>IF(Table6[[#This Row],[SKU]]="","",SUMIF(Table7[SKU],'FIFO COGS'!A57,Table7[Stock Available]))</f>
        <v/>
      </c>
      <c r="D57" s="37" t="str">
        <f>IF(A57="","",SUMIF(Table7[SKU],'FIFO COGS'!A57,Table7[Value]))</f>
        <v/>
      </c>
      <c r="F57" s="42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40" t="str">
        <f>IF(Table7[[#This Row],[Invoice]]="","",TabPO[[#This Row],[Order]])</f>
        <v/>
      </c>
      <c r="K57" s="39" t="str">
        <f>IF(Table7[[#This Row],[SKU]]="","",TabPO[[#This Row],[Price]])</f>
        <v/>
      </c>
      <c r="L57" s="39" t="str">
        <f>IFERROR(Table7[[#This Row],[Unit]]*Table7[[#This Row],[Cost / Unit]],"")</f>
        <v/>
      </c>
      <c r="M57" s="38" t="str">
        <f>IF(Table7[[#This Row],[SKU]]="","",MIN(Table7[[#This Row],[Unit]],SUMIF(Sales!$F$5:$F$111,Table7[[#This Row],[SKU]],Sales!$H$5:$H$111)-SUMIF($H$5:H56,H57,$M$5:M56)))</f>
        <v/>
      </c>
      <c r="N57" s="35" t="str">
        <f>IF(Table7[[#This Row],[SKU]]="","",Table7[[#This Row],[Unit]]-Table7[[#This Row],[Unit Sold]])</f>
        <v/>
      </c>
      <c r="O57" s="34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6" t="str">
        <f>IF(Table6[[#This Row],[SKU]]="","",SUMIF(Table7[SKU],'FIFO COGS'!A58,Table7[Stock Available]))</f>
        <v/>
      </c>
      <c r="D58" s="37" t="str">
        <f>IF(A58="","",SUMIF(Table7[SKU],'FIFO COGS'!A58,Table7[Value]))</f>
        <v/>
      </c>
      <c r="F58" s="42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40" t="str">
        <f>IF(Table7[[#This Row],[Invoice]]="","",TabPO[[#This Row],[Order]])</f>
        <v/>
      </c>
      <c r="K58" s="39" t="str">
        <f>IF(Table7[[#This Row],[SKU]]="","",TabPO[[#This Row],[Price]])</f>
        <v/>
      </c>
      <c r="L58" s="39" t="str">
        <f>IFERROR(Table7[[#This Row],[Unit]]*Table7[[#This Row],[Cost / Unit]],"")</f>
        <v/>
      </c>
      <c r="M58" s="38" t="str">
        <f>IF(Table7[[#This Row],[SKU]]="","",MIN(Table7[[#This Row],[Unit]],SUMIF(Sales!$F$5:$F$111,Table7[[#This Row],[SKU]],Sales!$H$5:$H$111)-SUMIF($H$5:H57,H58,$M$5:M57)))</f>
        <v/>
      </c>
      <c r="N58" s="35" t="str">
        <f>IF(Table7[[#This Row],[SKU]]="","",Table7[[#This Row],[Unit]]-Table7[[#This Row],[Unit Sold]])</f>
        <v/>
      </c>
      <c r="O58" s="34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6" t="str">
        <f>IF(Table6[[#This Row],[SKU]]="","",SUMIF(Table7[SKU],'FIFO COGS'!A59,Table7[Stock Available]))</f>
        <v/>
      </c>
      <c r="D59" s="37" t="str">
        <f>IF(A59="","",SUMIF(Table7[SKU],'FIFO COGS'!A59,Table7[Value]))</f>
        <v/>
      </c>
      <c r="F59" s="42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40" t="str">
        <f>IF(Table7[[#This Row],[Invoice]]="","",TabPO[[#This Row],[Order]])</f>
        <v/>
      </c>
      <c r="K59" s="39" t="str">
        <f>IF(Table7[[#This Row],[SKU]]="","",TabPO[[#This Row],[Price]])</f>
        <v/>
      </c>
      <c r="L59" s="39" t="str">
        <f>IFERROR(Table7[[#This Row],[Unit]]*Table7[[#This Row],[Cost / Unit]],"")</f>
        <v/>
      </c>
      <c r="M59" s="38" t="str">
        <f>IF(Table7[[#This Row],[SKU]]="","",MIN(Table7[[#This Row],[Unit]],SUMIF(Sales!$F$5:$F$111,Table7[[#This Row],[SKU]],Sales!$H$5:$H$111)-SUMIF($H$5:H58,H59,$M$5:M58)))</f>
        <v/>
      </c>
      <c r="N59" s="35" t="str">
        <f>IF(Table7[[#This Row],[SKU]]="","",Table7[[#This Row],[Unit]]-Table7[[#This Row],[Unit Sold]])</f>
        <v/>
      </c>
      <c r="O59" s="34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6" t="str">
        <f>IF(Table6[[#This Row],[SKU]]="","",SUMIF(Table7[SKU],'FIFO COGS'!A60,Table7[Stock Available]))</f>
        <v/>
      </c>
      <c r="D60" s="37" t="str">
        <f>IF(A60="","",SUMIF(Table7[SKU],'FIFO COGS'!A60,Table7[Value]))</f>
        <v/>
      </c>
      <c r="F60" s="42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40" t="str">
        <f>IF(Table7[[#This Row],[Invoice]]="","",TabPO[[#This Row],[Order]])</f>
        <v/>
      </c>
      <c r="K60" s="39" t="str">
        <f>IF(Table7[[#This Row],[SKU]]="","",TabPO[[#This Row],[Price]])</f>
        <v/>
      </c>
      <c r="L60" s="39" t="str">
        <f>IFERROR(Table7[[#This Row],[Unit]]*Table7[[#This Row],[Cost / Unit]],"")</f>
        <v/>
      </c>
      <c r="M60" s="38" t="str">
        <f>IF(Table7[[#This Row],[SKU]]="","",MIN(Table7[[#This Row],[Unit]],SUMIF(Sales!$F$5:$F$111,Table7[[#This Row],[SKU]],Sales!$H$5:$H$111)-SUMIF($H$5:H59,H60,$M$5:M59)))</f>
        <v/>
      </c>
      <c r="N60" s="35" t="str">
        <f>IF(Table7[[#This Row],[SKU]]="","",Table7[[#This Row],[Unit]]-Table7[[#This Row],[Unit Sold]])</f>
        <v/>
      </c>
      <c r="O60" s="34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6" t="str">
        <f>IF(Table6[[#This Row],[SKU]]="","",SUMIF(Table7[SKU],'FIFO COGS'!A61,Table7[Stock Available]))</f>
        <v/>
      </c>
      <c r="D61" s="37" t="str">
        <f>IF(A61="","",SUMIF(Table7[SKU],'FIFO COGS'!A61,Table7[Value]))</f>
        <v/>
      </c>
      <c r="F61" s="42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40" t="str">
        <f>IF(Table7[[#This Row],[Invoice]]="","",TabPO[[#This Row],[Order]])</f>
        <v/>
      </c>
      <c r="K61" s="39" t="str">
        <f>IF(Table7[[#This Row],[SKU]]="","",TabPO[[#This Row],[Price]])</f>
        <v/>
      </c>
      <c r="L61" s="39" t="str">
        <f>IFERROR(Table7[[#This Row],[Unit]]*Table7[[#This Row],[Cost / Unit]],"")</f>
        <v/>
      </c>
      <c r="M61" s="38" t="str">
        <f>IF(Table7[[#This Row],[SKU]]="","",MIN(Table7[[#This Row],[Unit]],SUMIF(Sales!$F$5:$F$111,Table7[[#This Row],[SKU]],Sales!$H$5:$H$111)-SUMIF($H$5:H60,H61,$M$5:M60)))</f>
        <v/>
      </c>
      <c r="N61" s="35" t="str">
        <f>IF(Table7[[#This Row],[SKU]]="","",Table7[[#This Row],[Unit]]-Table7[[#This Row],[Unit Sold]])</f>
        <v/>
      </c>
      <c r="O61" s="34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6" t="str">
        <f>IF(Table6[[#This Row],[SKU]]="","",SUMIF(Table7[SKU],'FIFO COGS'!A62,Table7[Stock Available]))</f>
        <v/>
      </c>
      <c r="D62" s="37" t="str">
        <f>IF(A62="","",SUMIF(Table7[SKU],'FIFO COGS'!A62,Table7[Value]))</f>
        <v/>
      </c>
      <c r="F62" s="42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40" t="str">
        <f>IF(Table7[[#This Row],[Invoice]]="","",TabPO[[#This Row],[Order]])</f>
        <v/>
      </c>
      <c r="K62" s="39" t="str">
        <f>IF(Table7[[#This Row],[SKU]]="","",TabPO[[#This Row],[Price]])</f>
        <v/>
      </c>
      <c r="L62" s="39" t="str">
        <f>IFERROR(Table7[[#This Row],[Unit]]*Table7[[#This Row],[Cost / Unit]],"")</f>
        <v/>
      </c>
      <c r="M62" s="38" t="str">
        <f>IF(Table7[[#This Row],[SKU]]="","",MIN(Table7[[#This Row],[Unit]],SUMIF(Sales!$F$5:$F$111,Table7[[#This Row],[SKU]],Sales!$H$5:$H$111)-SUMIF($H$5:H61,H62,$M$5:M61)))</f>
        <v/>
      </c>
      <c r="N62" s="35" t="str">
        <f>IF(Table7[[#This Row],[SKU]]="","",Table7[[#This Row],[Unit]]-Table7[[#This Row],[Unit Sold]])</f>
        <v/>
      </c>
      <c r="O62" s="34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6" t="str">
        <f>IF(Table6[[#This Row],[SKU]]="","",SUMIF(Table7[SKU],'FIFO COGS'!A63,Table7[Stock Available]))</f>
        <v/>
      </c>
      <c r="D63" s="37" t="str">
        <f>IF(A63="","",SUMIF(Table7[SKU],'FIFO COGS'!A63,Table7[Value]))</f>
        <v/>
      </c>
      <c r="F63" s="42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40" t="str">
        <f>IF(Table7[[#This Row],[Invoice]]="","",TabPO[[#This Row],[Order]])</f>
        <v/>
      </c>
      <c r="K63" s="39" t="str">
        <f>IF(Table7[[#This Row],[SKU]]="","",TabPO[[#This Row],[Price]])</f>
        <v/>
      </c>
      <c r="L63" s="39" t="str">
        <f>IFERROR(Table7[[#This Row],[Unit]]*Table7[[#This Row],[Cost / Unit]],"")</f>
        <v/>
      </c>
      <c r="M63" s="38" t="str">
        <f>IF(Table7[[#This Row],[SKU]]="","",MIN(Table7[[#This Row],[Unit]],SUMIF(Sales!$F$5:$F$111,Table7[[#This Row],[SKU]],Sales!$H$5:$H$111)-SUMIF($H$5:H62,H63,$M$5:M62)))</f>
        <v/>
      </c>
      <c r="N63" s="35" t="str">
        <f>IF(Table7[[#This Row],[SKU]]="","",Table7[[#This Row],[Unit]]-Table7[[#This Row],[Unit Sold]])</f>
        <v/>
      </c>
      <c r="O63" s="34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6" t="str">
        <f>IF(Table6[[#This Row],[SKU]]="","",SUMIF(Table7[SKU],'FIFO COGS'!A64,Table7[Stock Available]))</f>
        <v/>
      </c>
      <c r="D64" s="37" t="str">
        <f>IF(A64="","",SUMIF(Table7[SKU],'FIFO COGS'!A64,Table7[Value]))</f>
        <v/>
      </c>
      <c r="F64" s="42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40" t="str">
        <f>IF(Table7[[#This Row],[Invoice]]="","",TabPO[[#This Row],[Order]])</f>
        <v/>
      </c>
      <c r="K64" s="39" t="str">
        <f>IF(Table7[[#This Row],[SKU]]="","",TabPO[[#This Row],[Price]])</f>
        <v/>
      </c>
      <c r="L64" s="39" t="str">
        <f>IFERROR(Table7[[#This Row],[Unit]]*Table7[[#This Row],[Cost / Unit]],"")</f>
        <v/>
      </c>
      <c r="M64" s="38" t="str">
        <f>IF(Table7[[#This Row],[SKU]]="","",MIN(Table7[[#This Row],[Unit]],SUMIF(Sales!$F$5:$F$111,Table7[[#This Row],[SKU]],Sales!$H$5:$H$111)-SUMIF($H$5:H63,H64,$M$5:M63)))</f>
        <v/>
      </c>
      <c r="N64" s="35" t="str">
        <f>IF(Table7[[#This Row],[SKU]]="","",Table7[[#This Row],[Unit]]-Table7[[#This Row],[Unit Sold]])</f>
        <v/>
      </c>
      <c r="O64" s="34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6" t="str">
        <f>IF(Table6[[#This Row],[SKU]]="","",SUMIF(Table7[SKU],'FIFO COGS'!A65,Table7[Stock Available]))</f>
        <v/>
      </c>
      <c r="D65" s="37" t="str">
        <f>IF(A65="","",SUMIF(Table7[SKU],'FIFO COGS'!A65,Table7[Value]))</f>
        <v/>
      </c>
      <c r="F65" s="42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40" t="str">
        <f>IF(Table7[[#This Row],[Invoice]]="","",TabPO[[#This Row],[Order]])</f>
        <v/>
      </c>
      <c r="K65" s="39" t="str">
        <f>IF(Table7[[#This Row],[SKU]]="","",TabPO[[#This Row],[Price]])</f>
        <v/>
      </c>
      <c r="L65" s="39" t="str">
        <f>IFERROR(Table7[[#This Row],[Unit]]*Table7[[#This Row],[Cost / Unit]],"")</f>
        <v/>
      </c>
      <c r="M65" s="38" t="str">
        <f>IF(Table7[[#This Row],[SKU]]="","",MIN(Table7[[#This Row],[Unit]],SUMIF(Sales!$F$5:$F$111,Table7[[#This Row],[SKU]],Sales!$H$5:$H$111)-SUMIF($H$5:H64,H65,$M$5:M64)))</f>
        <v/>
      </c>
      <c r="N65" s="35" t="str">
        <f>IF(Table7[[#This Row],[SKU]]="","",Table7[[#This Row],[Unit]]-Table7[[#This Row],[Unit Sold]])</f>
        <v/>
      </c>
      <c r="O65" s="34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6" t="str">
        <f>IF(Table6[[#This Row],[SKU]]="","",SUMIF(Table7[SKU],'FIFO COGS'!A66,Table7[Stock Available]))</f>
        <v/>
      </c>
      <c r="D66" s="37" t="str">
        <f>IF(A66="","",SUMIF(Table7[SKU],'FIFO COGS'!A66,Table7[Value]))</f>
        <v/>
      </c>
      <c r="F66" s="42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40" t="str">
        <f>IF(Table7[[#This Row],[Invoice]]="","",TabPO[[#This Row],[Order]])</f>
        <v/>
      </c>
      <c r="K66" s="39" t="str">
        <f>IF(Table7[[#This Row],[SKU]]="","",TabPO[[#This Row],[Price]])</f>
        <v/>
      </c>
      <c r="L66" s="39" t="str">
        <f>IFERROR(Table7[[#This Row],[Unit]]*Table7[[#This Row],[Cost / Unit]],"")</f>
        <v/>
      </c>
      <c r="M66" s="38" t="str">
        <f>IF(Table7[[#This Row],[SKU]]="","",MIN(Table7[[#This Row],[Unit]],SUMIF(Sales!$F$5:$F$111,Table7[[#This Row],[SKU]],Sales!$H$5:$H$111)-SUMIF($H$5:H65,H66,$M$5:M65)))</f>
        <v/>
      </c>
      <c r="N66" s="35" t="str">
        <f>IF(Table7[[#This Row],[SKU]]="","",Table7[[#This Row],[Unit]]-Table7[[#This Row],[Unit Sold]])</f>
        <v/>
      </c>
      <c r="O66" s="34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6" t="str">
        <f>IF(Table6[[#This Row],[SKU]]="","",SUMIF(Table7[SKU],'FIFO COGS'!A67,Table7[Stock Available]))</f>
        <v/>
      </c>
      <c r="D67" s="37" t="str">
        <f>IF(A67="","",SUMIF(Table7[SKU],'FIFO COGS'!A67,Table7[Value]))</f>
        <v/>
      </c>
      <c r="F67" s="42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40" t="str">
        <f>IF(Table7[[#This Row],[Invoice]]="","",TabPO[[#This Row],[Order]])</f>
        <v/>
      </c>
      <c r="K67" s="39" t="str">
        <f>IF(Table7[[#This Row],[SKU]]="","",TabPO[[#This Row],[Price]])</f>
        <v/>
      </c>
      <c r="L67" s="39" t="str">
        <f>IFERROR(Table7[[#This Row],[Unit]]*Table7[[#This Row],[Cost / Unit]],"")</f>
        <v/>
      </c>
      <c r="M67" s="38" t="str">
        <f>IF(Table7[[#This Row],[SKU]]="","",MIN(Table7[[#This Row],[Unit]],SUMIF(Sales!$F$5:$F$111,Table7[[#This Row],[SKU]],Sales!$H$5:$H$111)-SUMIF($H$5:H66,H67,$M$5:M66)))</f>
        <v/>
      </c>
      <c r="N67" s="35" t="str">
        <f>IF(Table7[[#This Row],[SKU]]="","",Table7[[#This Row],[Unit]]-Table7[[#This Row],[Unit Sold]])</f>
        <v/>
      </c>
      <c r="O67" s="34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6" t="str">
        <f>IF(Table6[[#This Row],[SKU]]="","",SUMIF(Table7[SKU],'FIFO COGS'!A68,Table7[Stock Available]))</f>
        <v/>
      </c>
      <c r="D68" s="37" t="str">
        <f>IF(A68="","",SUMIF(Table7[SKU],'FIFO COGS'!A68,Table7[Value]))</f>
        <v/>
      </c>
      <c r="F68" s="42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40" t="str">
        <f>IF(Table7[[#This Row],[Invoice]]="","",TabPO[[#This Row],[Order]])</f>
        <v/>
      </c>
      <c r="K68" s="39" t="str">
        <f>IF(Table7[[#This Row],[SKU]]="","",TabPO[[#This Row],[Price]])</f>
        <v/>
      </c>
      <c r="L68" s="39" t="str">
        <f>IFERROR(Table7[[#This Row],[Unit]]*Table7[[#This Row],[Cost / Unit]],"")</f>
        <v/>
      </c>
      <c r="M68" s="38" t="str">
        <f>IF(Table7[[#This Row],[SKU]]="","",MIN(Table7[[#This Row],[Unit]],SUMIF(Sales!$F$5:$F$111,Table7[[#This Row],[SKU]],Sales!$H$5:$H$111)-SUMIF($H$5:H67,H68,$M$5:M67)))</f>
        <v/>
      </c>
      <c r="N68" s="35" t="str">
        <f>IF(Table7[[#This Row],[SKU]]="","",Table7[[#This Row],[Unit]]-Table7[[#This Row],[Unit Sold]])</f>
        <v/>
      </c>
      <c r="O68" s="34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6" t="str">
        <f>IF(Table6[[#This Row],[SKU]]="","",SUMIF(Table7[SKU],'FIFO COGS'!A69,Table7[Stock Available]))</f>
        <v/>
      </c>
      <c r="D69" s="37" t="str">
        <f>IF(A69="","",SUMIF(Table7[SKU],'FIFO COGS'!A69,Table7[Value]))</f>
        <v/>
      </c>
      <c r="F69" s="42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40" t="str">
        <f>IF(Table7[[#This Row],[Invoice]]="","",TabPO[[#This Row],[Order]])</f>
        <v/>
      </c>
      <c r="K69" s="39" t="str">
        <f>IF(Table7[[#This Row],[SKU]]="","",TabPO[[#This Row],[Price]])</f>
        <v/>
      </c>
      <c r="L69" s="39" t="str">
        <f>IFERROR(Table7[[#This Row],[Unit]]*Table7[[#This Row],[Cost / Unit]],"")</f>
        <v/>
      </c>
      <c r="M69" s="38" t="str">
        <f>IF(Table7[[#This Row],[SKU]]="","",MIN(Table7[[#This Row],[Unit]],SUMIF(Sales!$F$5:$F$111,Table7[[#This Row],[SKU]],Sales!$H$5:$H$111)-SUMIF($H$5:H68,H69,$M$5:M68)))</f>
        <v/>
      </c>
      <c r="N69" s="35" t="str">
        <f>IF(Table7[[#This Row],[SKU]]="","",Table7[[#This Row],[Unit]]-Table7[[#This Row],[Unit Sold]])</f>
        <v/>
      </c>
      <c r="O69" s="34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6" t="str">
        <f>IF(Table6[[#This Row],[SKU]]="","",SUMIF(Table7[SKU],'FIFO COGS'!A70,Table7[Stock Available]))</f>
        <v/>
      </c>
      <c r="D70" s="37" t="str">
        <f>IF(A70="","",SUMIF(Table7[SKU],'FIFO COGS'!A70,Table7[Value]))</f>
        <v/>
      </c>
      <c r="F70" s="42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40" t="str">
        <f>IF(Table7[[#This Row],[Invoice]]="","",TabPO[[#This Row],[Order]])</f>
        <v/>
      </c>
      <c r="K70" s="39" t="str">
        <f>IF(Table7[[#This Row],[SKU]]="","",TabPO[[#This Row],[Price]])</f>
        <v/>
      </c>
      <c r="L70" s="39" t="str">
        <f>IFERROR(Table7[[#This Row],[Unit]]*Table7[[#This Row],[Cost / Unit]],"")</f>
        <v/>
      </c>
      <c r="M70" s="38" t="str">
        <f>IF(Table7[[#This Row],[SKU]]="","",MIN(Table7[[#This Row],[Unit]],SUMIF(Sales!$F$5:$F$111,Table7[[#This Row],[SKU]],Sales!$H$5:$H$111)-SUMIF($H$5:H69,H70,$M$5:M69)))</f>
        <v/>
      </c>
      <c r="N70" s="35" t="str">
        <f>IF(Table7[[#This Row],[SKU]]="","",Table7[[#This Row],[Unit]]-Table7[[#This Row],[Unit Sold]])</f>
        <v/>
      </c>
      <c r="O70" s="34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6" t="str">
        <f>IF(Table6[[#This Row],[SKU]]="","",SUMIF(Table7[SKU],'FIFO COGS'!A71,Table7[Stock Available]))</f>
        <v/>
      </c>
      <c r="D71" s="37" t="str">
        <f>IF(A71="","",SUMIF(Table7[SKU],'FIFO COGS'!A71,Table7[Value]))</f>
        <v/>
      </c>
      <c r="F71" s="42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40" t="str">
        <f>IF(Table7[[#This Row],[Invoice]]="","",TabPO[[#This Row],[Order]])</f>
        <v/>
      </c>
      <c r="K71" s="39" t="str">
        <f>IF(Table7[[#This Row],[SKU]]="","",TabPO[[#This Row],[Price]])</f>
        <v/>
      </c>
      <c r="L71" s="39" t="str">
        <f>IFERROR(Table7[[#This Row],[Unit]]*Table7[[#This Row],[Cost / Unit]],"")</f>
        <v/>
      </c>
      <c r="M71" s="38" t="str">
        <f>IF(Table7[[#This Row],[SKU]]="","",MIN(Table7[[#This Row],[Unit]],SUMIF(Sales!$F$5:$F$111,Table7[[#This Row],[SKU]],Sales!$H$5:$H$111)-SUMIF($H$5:H70,H71,$M$5:M70)))</f>
        <v/>
      </c>
      <c r="N71" s="35" t="str">
        <f>IF(Table7[[#This Row],[SKU]]="","",Table7[[#This Row],[Unit]]-Table7[[#This Row],[Unit Sold]])</f>
        <v/>
      </c>
      <c r="O71" s="34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6" t="str">
        <f>IF(Table6[[#This Row],[SKU]]="","",SUMIF(Table7[SKU],'FIFO COGS'!A72,Table7[Stock Available]))</f>
        <v/>
      </c>
      <c r="D72" s="37" t="str">
        <f>IF(A72="","",SUMIF(Table7[SKU],'FIFO COGS'!A72,Table7[Value]))</f>
        <v/>
      </c>
      <c r="F72" s="42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40" t="str">
        <f>IF(Table7[[#This Row],[Invoice]]="","",TabPO[[#This Row],[Order]])</f>
        <v/>
      </c>
      <c r="K72" s="39" t="str">
        <f>IF(Table7[[#This Row],[SKU]]="","",TabPO[[#This Row],[Price]])</f>
        <v/>
      </c>
      <c r="L72" s="39" t="str">
        <f>IFERROR(Table7[[#This Row],[Unit]]*Table7[[#This Row],[Cost / Unit]],"")</f>
        <v/>
      </c>
      <c r="M72" s="38" t="str">
        <f>IF(Table7[[#This Row],[SKU]]="","",MIN(Table7[[#This Row],[Unit]],SUMIF(Sales!$F$5:$F$111,Table7[[#This Row],[SKU]],Sales!$H$5:$H$111)-SUMIF($H$5:H71,H72,$M$5:M71)))</f>
        <v/>
      </c>
      <c r="N72" s="35" t="str">
        <f>IF(Table7[[#This Row],[SKU]]="","",Table7[[#This Row],[Unit]]-Table7[[#This Row],[Unit Sold]])</f>
        <v/>
      </c>
      <c r="O72" s="34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6" t="str">
        <f>IF(Table6[[#This Row],[SKU]]="","",SUMIF(Table7[SKU],'FIFO COGS'!A73,Table7[Stock Available]))</f>
        <v/>
      </c>
      <c r="D73" s="37" t="str">
        <f>IF(A73="","",SUMIF(Table7[SKU],'FIFO COGS'!A73,Table7[Value]))</f>
        <v/>
      </c>
      <c r="F73" s="42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40" t="str">
        <f>IF(Table7[[#This Row],[Invoice]]="","",TabPO[[#This Row],[Order]])</f>
        <v/>
      </c>
      <c r="K73" s="39" t="str">
        <f>IF(Table7[[#This Row],[SKU]]="","",TabPO[[#This Row],[Price]])</f>
        <v/>
      </c>
      <c r="L73" s="39" t="str">
        <f>IFERROR(Table7[[#This Row],[Unit]]*Table7[[#This Row],[Cost / Unit]],"")</f>
        <v/>
      </c>
      <c r="M73" s="38" t="str">
        <f>IF(Table7[[#This Row],[SKU]]="","",MIN(Table7[[#This Row],[Unit]],SUMIF(Sales!$F$5:$F$111,Table7[[#This Row],[SKU]],Sales!$H$5:$H$111)-SUMIF($H$5:H72,H73,$M$5:M72)))</f>
        <v/>
      </c>
      <c r="N73" s="35" t="str">
        <f>IF(Table7[[#This Row],[SKU]]="","",Table7[[#This Row],[Unit]]-Table7[[#This Row],[Unit Sold]])</f>
        <v/>
      </c>
      <c r="O73" s="34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6" t="str">
        <f>IF(Table6[[#This Row],[SKU]]="","",SUMIF(Table7[SKU],'FIFO COGS'!A74,Table7[Stock Available]))</f>
        <v/>
      </c>
      <c r="D74" s="37" t="str">
        <f>IF(A74="","",SUMIF(Table7[SKU],'FIFO COGS'!A74,Table7[Value]))</f>
        <v/>
      </c>
      <c r="F74" s="42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40" t="str">
        <f>IF(Table7[[#This Row],[Invoice]]="","",TabPO[[#This Row],[Order]])</f>
        <v/>
      </c>
      <c r="K74" s="39" t="str">
        <f>IF(Table7[[#This Row],[SKU]]="","",TabPO[[#This Row],[Price]])</f>
        <v/>
      </c>
      <c r="L74" s="39" t="str">
        <f>IFERROR(Table7[[#This Row],[Unit]]*Table7[[#This Row],[Cost / Unit]],"")</f>
        <v/>
      </c>
      <c r="M74" s="38" t="str">
        <f>IF(Table7[[#This Row],[SKU]]="","",MIN(Table7[[#This Row],[Unit]],SUMIF(Sales!$F$5:$F$111,Table7[[#This Row],[SKU]],Sales!$H$5:$H$111)-SUMIF($H$5:H73,H74,$M$5:M73)))</f>
        <v/>
      </c>
      <c r="N74" s="35" t="str">
        <f>IF(Table7[[#This Row],[SKU]]="","",Table7[[#This Row],[Unit]]-Table7[[#This Row],[Unit Sold]])</f>
        <v/>
      </c>
      <c r="O74" s="34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6" t="str">
        <f>IF(Table6[[#This Row],[SKU]]="","",SUMIF(Table7[SKU],'FIFO COGS'!A75,Table7[Stock Available]))</f>
        <v/>
      </c>
      <c r="D75" s="37" t="str">
        <f>IF(A75="","",SUMIF(Table7[SKU],'FIFO COGS'!A75,Table7[Value]))</f>
        <v/>
      </c>
      <c r="F75" s="42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40" t="str">
        <f>IF(Table7[[#This Row],[Invoice]]="","",TabPO[[#This Row],[Order]])</f>
        <v/>
      </c>
      <c r="K75" s="39" t="str">
        <f>IF(Table7[[#This Row],[SKU]]="","",TabPO[[#This Row],[Price]])</f>
        <v/>
      </c>
      <c r="L75" s="39" t="str">
        <f>IFERROR(Table7[[#This Row],[Unit]]*Table7[[#This Row],[Cost / Unit]],"")</f>
        <v/>
      </c>
      <c r="M75" s="38" t="str">
        <f>IF(Table7[[#This Row],[SKU]]="","",MIN(Table7[[#This Row],[Unit]],SUMIF(Sales!$F$5:$F$111,Table7[[#This Row],[SKU]],Sales!$H$5:$H$111)-SUMIF($H$5:H74,H75,$M$5:M74)))</f>
        <v/>
      </c>
      <c r="N75" s="35" t="str">
        <f>IF(Table7[[#This Row],[SKU]]="","",Table7[[#This Row],[Unit]]-Table7[[#This Row],[Unit Sold]])</f>
        <v/>
      </c>
      <c r="O75" s="34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6" t="str">
        <f>IF(Table6[[#This Row],[SKU]]="","",SUMIF(Table7[SKU],'FIFO COGS'!A76,Table7[Stock Available]))</f>
        <v/>
      </c>
      <c r="D76" s="37" t="str">
        <f>IF(A76="","",SUMIF(Table7[SKU],'FIFO COGS'!A76,Table7[Value]))</f>
        <v/>
      </c>
      <c r="F76" s="42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40" t="str">
        <f>IF(Table7[[#This Row],[Invoice]]="","",TabPO[[#This Row],[Order]])</f>
        <v/>
      </c>
      <c r="K76" s="39" t="str">
        <f>IF(Table7[[#This Row],[SKU]]="","",TabPO[[#This Row],[Price]])</f>
        <v/>
      </c>
      <c r="L76" s="39" t="str">
        <f>IFERROR(Table7[[#This Row],[Unit]]*Table7[[#This Row],[Cost / Unit]],"")</f>
        <v/>
      </c>
      <c r="M76" s="38" t="str">
        <f>IF(Table7[[#This Row],[SKU]]="","",MIN(Table7[[#This Row],[Unit]],SUMIF(Sales!$F$5:$F$111,Table7[[#This Row],[SKU]],Sales!$H$5:$H$111)-SUMIF($H$5:H75,H76,$M$5:M75)))</f>
        <v/>
      </c>
      <c r="N76" s="35" t="str">
        <f>IF(Table7[[#This Row],[SKU]]="","",Table7[[#This Row],[Unit]]-Table7[[#This Row],[Unit Sold]])</f>
        <v/>
      </c>
      <c r="O76" s="34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6" t="str">
        <f>IF(Table6[[#This Row],[SKU]]="","",SUMIF(Table7[SKU],'FIFO COGS'!A77,Table7[Stock Available]))</f>
        <v/>
      </c>
      <c r="D77" s="37" t="str">
        <f>IF(A77="","",SUMIF(Table7[SKU],'FIFO COGS'!A77,Table7[Value]))</f>
        <v/>
      </c>
      <c r="F77" s="42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40" t="str">
        <f>IF(Table7[[#This Row],[Invoice]]="","",TabPO[[#This Row],[Order]])</f>
        <v/>
      </c>
      <c r="K77" s="39" t="str">
        <f>IF(Table7[[#This Row],[SKU]]="","",TabPO[[#This Row],[Price]])</f>
        <v/>
      </c>
      <c r="L77" s="39" t="str">
        <f>IFERROR(Table7[[#This Row],[Unit]]*Table7[[#This Row],[Cost / Unit]],"")</f>
        <v/>
      </c>
      <c r="M77" s="38" t="str">
        <f>IF(Table7[[#This Row],[SKU]]="","",MIN(Table7[[#This Row],[Unit]],SUMIF(Sales!$F$5:$F$111,Table7[[#This Row],[SKU]],Sales!$H$5:$H$111)-SUMIF($H$5:H76,H77,$M$5:M76)))</f>
        <v/>
      </c>
      <c r="N77" s="35" t="str">
        <f>IF(Table7[[#This Row],[SKU]]="","",Table7[[#This Row],[Unit]]-Table7[[#This Row],[Unit Sold]])</f>
        <v/>
      </c>
      <c r="O77" s="34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6" t="str">
        <f>IF(Table6[[#This Row],[SKU]]="","",SUMIF(Table7[SKU],'FIFO COGS'!A78,Table7[Stock Available]))</f>
        <v/>
      </c>
      <c r="D78" s="37" t="str">
        <f>IF(A78="","",SUMIF(Table7[SKU],'FIFO COGS'!A78,Table7[Value]))</f>
        <v/>
      </c>
      <c r="F78" s="42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40" t="str">
        <f>IF(Table7[[#This Row],[Invoice]]="","",TabPO[[#This Row],[Order]])</f>
        <v/>
      </c>
      <c r="K78" s="39" t="str">
        <f>IF(Table7[[#This Row],[SKU]]="","",TabPO[[#This Row],[Price]])</f>
        <v/>
      </c>
      <c r="L78" s="39" t="str">
        <f>IFERROR(Table7[[#This Row],[Unit]]*Table7[[#This Row],[Cost / Unit]],"")</f>
        <v/>
      </c>
      <c r="M78" s="38" t="str">
        <f>IF(Table7[[#This Row],[SKU]]="","",MIN(Table7[[#This Row],[Unit]],SUMIF(Sales!$F$5:$F$111,Table7[[#This Row],[SKU]],Sales!$H$5:$H$111)-SUMIF($H$5:H77,H78,$M$5:M77)))</f>
        <v/>
      </c>
      <c r="N78" s="35" t="str">
        <f>IF(Table7[[#This Row],[SKU]]="","",Table7[[#This Row],[Unit]]-Table7[[#This Row],[Unit Sold]])</f>
        <v/>
      </c>
      <c r="O78" s="34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6" t="str">
        <f>IF(Table6[[#This Row],[SKU]]="","",SUMIF(Table7[SKU],'FIFO COGS'!A79,Table7[Stock Available]))</f>
        <v/>
      </c>
      <c r="D79" s="37" t="str">
        <f>IF(A79="","",SUMIF(Table7[SKU],'FIFO COGS'!A79,Table7[Value]))</f>
        <v/>
      </c>
      <c r="F79" s="42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40" t="str">
        <f>IF(Table7[[#This Row],[Invoice]]="","",TabPO[[#This Row],[Order]])</f>
        <v/>
      </c>
      <c r="K79" s="39" t="str">
        <f>IF(Table7[[#This Row],[SKU]]="","",TabPO[[#This Row],[Price]])</f>
        <v/>
      </c>
      <c r="L79" s="39" t="str">
        <f>IFERROR(Table7[[#This Row],[Unit]]*Table7[[#This Row],[Cost / Unit]],"")</f>
        <v/>
      </c>
      <c r="M79" s="38" t="str">
        <f>IF(Table7[[#This Row],[SKU]]="","",MIN(Table7[[#This Row],[Unit]],SUMIF(Sales!$F$5:$F$111,Table7[[#This Row],[SKU]],Sales!$H$5:$H$111)-SUMIF($H$5:H78,H79,$M$5:M78)))</f>
        <v/>
      </c>
      <c r="N79" s="35" t="str">
        <f>IF(Table7[[#This Row],[SKU]]="","",Table7[[#This Row],[Unit]]-Table7[[#This Row],[Unit Sold]])</f>
        <v/>
      </c>
      <c r="O79" s="34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6" t="str">
        <f>IF(Table6[[#This Row],[SKU]]="","",SUMIF(Table7[SKU],'FIFO COGS'!A80,Table7[Stock Available]))</f>
        <v/>
      </c>
      <c r="D80" s="37" t="str">
        <f>IF(A80="","",SUMIF(Table7[SKU],'FIFO COGS'!A80,Table7[Value]))</f>
        <v/>
      </c>
      <c r="F80" s="42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40" t="str">
        <f>IF(Table7[[#This Row],[Invoice]]="","",TabPO[[#This Row],[Order]])</f>
        <v/>
      </c>
      <c r="K80" s="39" t="str">
        <f>IF(Table7[[#This Row],[SKU]]="","",TabPO[[#This Row],[Price]])</f>
        <v/>
      </c>
      <c r="L80" s="39" t="str">
        <f>IFERROR(Table7[[#This Row],[Unit]]*Table7[[#This Row],[Cost / Unit]],"")</f>
        <v/>
      </c>
      <c r="M80" s="38" t="str">
        <f>IF(Table7[[#This Row],[SKU]]="","",MIN(Table7[[#This Row],[Unit]],SUMIF(Sales!$F$5:$F$111,Table7[[#This Row],[SKU]],Sales!$H$5:$H$111)-SUMIF($H$5:H79,H80,$M$5:M79)))</f>
        <v/>
      </c>
      <c r="N80" s="35" t="str">
        <f>IF(Table7[[#This Row],[SKU]]="","",Table7[[#This Row],[Unit]]-Table7[[#This Row],[Unit Sold]])</f>
        <v/>
      </c>
      <c r="O80" s="34" t="str">
        <f>IF(Table7[[#This Row],[SKU]]="","",Table7[[#This Row],[Stock Available]]*Table7[[#This Row],[Cost / Unit]])</f>
        <v/>
      </c>
    </row>
    <row r="81" spans="1:15">
      <c r="A81" t="str">
        <f>'Product Item'!D84</f>
        <v/>
      </c>
      <c r="B81" t="str">
        <f>IF('Product Item'!D:D="","",'Product Item'!G:G)</f>
        <v/>
      </c>
      <c r="C81" s="36" t="str">
        <f>IF(Table6[[#This Row],[SKU]]="","",SUMIF(Table7[SKU],'FIFO COGS'!A81,Table7[Stock Available]))</f>
        <v/>
      </c>
      <c r="D81" s="37" t="str">
        <f>IF(A81="","",SUMIF(Table7[SKU],'FIFO COGS'!A81,Table7[Value]))</f>
        <v/>
      </c>
      <c r="F81" s="42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40" t="str">
        <f>IF(Table7[[#This Row],[Invoice]]="","",TabPO[[#This Row],[Order]])</f>
        <v/>
      </c>
      <c r="K81" s="39" t="str">
        <f>IF(Table7[[#This Row],[SKU]]="","",TabPO[[#This Row],[Price]])</f>
        <v/>
      </c>
      <c r="L81" s="39" t="str">
        <f>IFERROR(Table7[[#This Row],[Unit]]*Table7[[#This Row],[Cost / Unit]],"")</f>
        <v/>
      </c>
      <c r="M81" s="38" t="str">
        <f>IF(Table7[[#This Row],[SKU]]="","",MIN(Table7[[#This Row],[Unit]],SUMIF(Sales!$F$5:$F$111,Table7[[#This Row],[SKU]],Sales!$H$5:$H$111)-SUMIF($H$5:H80,H81,$M$5:M80)))</f>
        <v/>
      </c>
      <c r="N81" s="35" t="str">
        <f>IF(Table7[[#This Row],[SKU]]="","",Table7[[#This Row],[Unit]]-Table7[[#This Row],[Unit Sold]])</f>
        <v/>
      </c>
      <c r="O81" s="34" t="str">
        <f>IF(Table7[[#This Row],[SKU]]="","",Table7[[#This Row],[Stock Available]]*Table7[[#This Row],[Cost / Unit]])</f>
        <v/>
      </c>
    </row>
    <row r="82" spans="1:15">
      <c r="A82" t="str">
        <f>'Product Item'!D85</f>
        <v/>
      </c>
      <c r="B82" t="str">
        <f>IF('Product Item'!D:D="","",'Product Item'!G:G)</f>
        <v/>
      </c>
      <c r="C82" s="36" t="str">
        <f>IF(Table6[[#This Row],[SKU]]="","",SUMIF(Table7[SKU],'FIFO COGS'!A82,Table7[Stock Available]))</f>
        <v/>
      </c>
      <c r="D82" s="37" t="str">
        <f>IF(A82="","",SUMIF(Table7[SKU],'FIFO COGS'!A82,Table7[Value]))</f>
        <v/>
      </c>
      <c r="F82" s="42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40" t="str">
        <f>IF(Table7[[#This Row],[Invoice]]="","",TabPO[[#This Row],[Order]])</f>
        <v/>
      </c>
      <c r="K82" s="39" t="str">
        <f>IF(Table7[[#This Row],[SKU]]="","",TabPO[[#This Row],[Price]])</f>
        <v/>
      </c>
      <c r="L82" s="39" t="str">
        <f>IFERROR(Table7[[#This Row],[Unit]]*Table7[[#This Row],[Cost / Unit]],"")</f>
        <v/>
      </c>
      <c r="M82" s="38" t="str">
        <f>IF(Table7[[#This Row],[SKU]]="","",MIN(Table7[[#This Row],[Unit]],SUMIF(Sales!$F$5:$F$111,Table7[[#This Row],[SKU]],Sales!$H$5:$H$111)-SUMIF($H$5:H81,H82,$M$5:M81)))</f>
        <v/>
      </c>
      <c r="N82" s="35" t="str">
        <f>IF(Table7[[#This Row],[SKU]]="","",Table7[[#This Row],[Unit]]-Table7[[#This Row],[Unit Sold]])</f>
        <v/>
      </c>
      <c r="O82" s="34" t="str">
        <f>IF(Table7[[#This Row],[SKU]]="","",Table7[[#This Row],[Stock Available]]*Table7[[#This Row],[Cost / Unit]])</f>
        <v/>
      </c>
    </row>
    <row r="83" spans="1:15">
      <c r="A83" t="str">
        <f>'Product Item'!D86</f>
        <v/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7" t="str">
        <f>IF(A83="","",SUMIF('Purchase Order'!$G$6:$G$1000,'FIFO COGS'!A83,'Purchase Order'!$L$6:$L$1000))</f>
        <v/>
      </c>
      <c r="F83" s="42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40" t="str">
        <f>IF(Table7[[#This Row],[Invoice]]="","",TabPO[[#This Row],[Order]])</f>
        <v/>
      </c>
      <c r="K83" s="39" t="str">
        <f>IF(Table7[[#This Row],[SKU]]="","",TabPO[[#This Row],[Price]])</f>
        <v/>
      </c>
      <c r="L83" s="39" t="str">
        <f>IFERROR(Table7[[#This Row],[Unit]]*Table7[[#This Row],[Cost / Unit]],"")</f>
        <v/>
      </c>
      <c r="M83" s="38" t="str">
        <f>IF(Table7[[#This Row],[SKU]]="","",MIN(Table7[[#This Row],[Unit]],SUMIF(Sales!$F$5:$F$111,Table7[[#This Row],[SKU]],Sales!$H$5:$H$111)-SUMIF($H$5:H82,H83,$M$5:M82)))</f>
        <v/>
      </c>
      <c r="N83" s="35" t="str">
        <f>IF(Table7[[#This Row],[SKU]]="","",Table7[[#This Row],[Unit]]-Table7[[#This Row],[Unit Sold]])</f>
        <v/>
      </c>
      <c r="O83" s="34" t="str">
        <f>IF(Table7[[#This Row],[SKU]]="","",Table7[[#This Row],[Stock Available]]*Table7[[#This Row],[Cost / Unit]])</f>
        <v/>
      </c>
    </row>
    <row r="84" spans="1:15">
      <c r="A84" t="str">
        <f>'Product Item'!D87</f>
        <v/>
      </c>
      <c r="B84" t="str">
        <f>IF('Product Item'!D:D="","",'Product Item'!G:G)</f>
        <v/>
      </c>
      <c r="C84" t="str">
        <f t="shared" si="0"/>
        <v/>
      </c>
      <c r="D84" s="7" t="str">
        <f>IF(A84="","",SUMIF('Purchase Order'!$G$6:$G$1000,'FIFO COGS'!A84,'Purchase Order'!$L$6:$L$1000))</f>
        <v/>
      </c>
      <c r="F84" s="42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40" t="str">
        <f>IF(Table7[[#This Row],[Invoice]]="","",TabPO[[#This Row],[Order]])</f>
        <v/>
      </c>
      <c r="K84" s="39" t="str">
        <f>IF(Table7[[#This Row],[SKU]]="","",TabPO[[#This Row],[Price]])</f>
        <v/>
      </c>
      <c r="L84" s="39" t="str">
        <f>IFERROR(Table7[[#This Row],[Unit]]*Table7[[#This Row],[Cost / Unit]],"")</f>
        <v/>
      </c>
      <c r="M84" s="38" t="str">
        <f>IF(Table7[[#This Row],[SKU]]="","",MIN(Table7[[#This Row],[Unit]],SUMIF(Sales!$F$5:$F$111,Table7[[#This Row],[SKU]],Sales!$H$5:$H$111)-SUMIF($H$5:H83,H84,$M$5:M83)))</f>
        <v/>
      </c>
      <c r="N84" s="35" t="str">
        <f>IF(Table7[[#This Row],[SKU]]="","",Table7[[#This Row],[Unit]]-Table7[[#This Row],[Unit Sold]])</f>
        <v/>
      </c>
      <c r="O84" s="34" t="str">
        <f>IF(Table7[[#This Row],[SKU]]="","",Table7[[#This Row],[Stock Available]]*Table7[[#This Row],[Cost / Unit]])</f>
        <v/>
      </c>
    </row>
    <row r="85" spans="1:15">
      <c r="A85" t="str">
        <f>'Product Item'!D88</f>
        <v/>
      </c>
      <c r="B85" t="str">
        <f>IF('Product Item'!D:D="","",'Product Item'!G:G)</f>
        <v/>
      </c>
      <c r="C85" t="str">
        <f t="shared" si="0"/>
        <v/>
      </c>
      <c r="D85" s="7" t="str">
        <f>IF(A85="","",SUMIF('Purchase Order'!$G$6:$G$1000,'FIFO COGS'!A85,'Purchase Order'!$L$6:$L$1000))</f>
        <v/>
      </c>
      <c r="F85" s="42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40" t="str">
        <f>IF(Table7[[#This Row],[Invoice]]="","",TabPO[[#This Row],[Order]])</f>
        <v/>
      </c>
      <c r="K85" s="39" t="str">
        <f>IF(Table7[[#This Row],[SKU]]="","",TabPO[[#This Row],[Price]])</f>
        <v/>
      </c>
      <c r="L85" s="39" t="str">
        <f>IFERROR(Table7[[#This Row],[Unit]]*Table7[[#This Row],[Cost / Unit]],"")</f>
        <v/>
      </c>
      <c r="M85" s="38" t="str">
        <f>IF(Table7[[#This Row],[SKU]]="","",MIN(Table7[[#This Row],[Unit]],SUMIF(Sales!$F$5:$F$111,Table7[[#This Row],[SKU]],Sales!$H$5:$H$111)-SUMIF($H$5:H84,H85,$M$5:M84)))</f>
        <v/>
      </c>
      <c r="N85" s="35" t="str">
        <f>IF(Table7[[#This Row],[SKU]]="","",Table7[[#This Row],[Unit]]-Table7[[#This Row],[Unit Sold]])</f>
        <v/>
      </c>
      <c r="O85" s="34" t="str">
        <f>IF(Table7[[#This Row],[SKU]]="","",Table7[[#This Row],[Stock Available]]*Table7[[#This Row],[Cost / Unit]])</f>
        <v/>
      </c>
    </row>
    <row r="86" spans="1:15">
      <c r="A86" t="str">
        <f>'Product Item'!D89</f>
        <v/>
      </c>
      <c r="B86" t="str">
        <f>IF('Product Item'!D:D="","",'Product Item'!G:G)</f>
        <v/>
      </c>
      <c r="C86" t="str">
        <f t="shared" si="0"/>
        <v/>
      </c>
      <c r="D86" s="7" t="str">
        <f>IF(A86="","",SUMIF('Purchase Order'!$G$6:$G$1000,'FIFO COGS'!A86,'Purchase Order'!$L$6:$L$1000))</f>
        <v/>
      </c>
      <c r="F86" s="42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40" t="str">
        <f>IF(Table7[[#This Row],[Invoice]]="","",TabPO[[#This Row],[Order]])</f>
        <v/>
      </c>
      <c r="K86" s="39" t="str">
        <f>IF(Table7[[#This Row],[SKU]]="","",TabPO[[#This Row],[Price]])</f>
        <v/>
      </c>
      <c r="L86" s="39" t="str">
        <f>IFERROR(Table7[[#This Row],[Unit]]*Table7[[#This Row],[Cost / Unit]],"")</f>
        <v/>
      </c>
      <c r="M86" s="38" t="str">
        <f>IF(Table7[[#This Row],[SKU]]="","",MIN(Table7[[#This Row],[Unit]],SUMIF(Sales!$F$5:$F$111,Table7[[#This Row],[SKU]],Sales!$H$5:$H$111)-SUMIF($H$5:H85,H86,$M$5:M85)))</f>
        <v/>
      </c>
      <c r="N86" s="35" t="str">
        <f>IF(Table7[[#This Row],[SKU]]="","",Table7[[#This Row],[Unit]]-Table7[[#This Row],[Unit Sold]])</f>
        <v/>
      </c>
      <c r="O86" s="34" t="str">
        <f>IF(Table7[[#This Row],[SKU]]="","",Table7[[#This Row],[Stock Available]]*Table7[[#This Row],[Cost / Unit]])</f>
        <v/>
      </c>
    </row>
    <row r="87" spans="1:15">
      <c r="A87" t="str">
        <f>'Product Item'!D90</f>
        <v/>
      </c>
      <c r="B87" t="str">
        <f>IF('Product Item'!D:D="","",'Product Item'!G:G)</f>
        <v/>
      </c>
      <c r="C87" t="str">
        <f t="shared" si="0"/>
        <v/>
      </c>
      <c r="D87" s="7" t="str">
        <f>IF(A87="","",SUMIF('Purchase Order'!$G$6:$G$1000,'FIFO COGS'!A87,'Purchase Order'!$L$6:$L$1000))</f>
        <v/>
      </c>
      <c r="F87" s="42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40" t="str">
        <f>IF(Table7[[#This Row],[Invoice]]="","",TabPO[[#This Row],[Order]])</f>
        <v/>
      </c>
      <c r="K87" s="39" t="str">
        <f>IF(Table7[[#This Row],[SKU]]="","",TabPO[[#This Row],[Price]])</f>
        <v/>
      </c>
      <c r="L87" s="39" t="str">
        <f>IFERROR(Table7[[#This Row],[Unit]]*Table7[[#This Row],[Cost / Unit]],"")</f>
        <v/>
      </c>
      <c r="M87" s="38" t="str">
        <f>IF(Table7[[#This Row],[SKU]]="","",MIN(Table7[[#This Row],[Unit]],SUMIF(Sales!$F$5:$F$111,Table7[[#This Row],[SKU]],Sales!$H$5:$H$111)-SUMIF($H$5:H86,H87,$M$5:M86)))</f>
        <v/>
      </c>
      <c r="N87" s="35" t="str">
        <f>IF(Table7[[#This Row],[SKU]]="","",Table7[[#This Row],[Unit]]-Table7[[#This Row],[Unit Sold]])</f>
        <v/>
      </c>
      <c r="O87" s="34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7" t="str">
        <f>IF(A88="","",SUMIF('Purchase Order'!$G$6:$G$1000,'FIFO COGS'!A88,'Purchase Order'!$L$6:$L$1000))</f>
        <v/>
      </c>
      <c r="F88" s="42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40" t="str">
        <f>IF(Table7[[#This Row],[Invoice]]="","",TabPO[[#This Row],[Order]])</f>
        <v/>
      </c>
      <c r="K88" s="39" t="str">
        <f>IF(Table7[[#This Row],[SKU]]="","",TabPO[[#This Row],[Price]])</f>
        <v/>
      </c>
      <c r="L88" s="39" t="str">
        <f>IFERROR(Table7[[#This Row],[Unit]]*Table7[[#This Row],[Cost / Unit]],"")</f>
        <v/>
      </c>
      <c r="M88" s="38" t="str">
        <f>IF(Table7[[#This Row],[SKU]]="","",MIN(Table7[[#This Row],[Unit]],SUMIF(Sales!$F$5:$F$111,Table7[[#This Row],[SKU]],Sales!$H$5:$H$111)-SUMIF($H$5:H87,H88,$M$5:M87)))</f>
        <v/>
      </c>
      <c r="N88" s="35" t="str">
        <f>IF(Table7[[#This Row],[SKU]]="","",Table7[[#This Row],[Unit]]-Table7[[#This Row],[Unit Sold]])</f>
        <v/>
      </c>
      <c r="O88" s="34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7" t="str">
        <f>IF(A89="","",SUMIF('Purchase Order'!$G$6:$G$1000,'FIFO COGS'!A89,'Purchase Order'!$L$6:$L$1000))</f>
        <v/>
      </c>
      <c r="F89" s="42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40" t="str">
        <f>IF(Table7[[#This Row],[Invoice]]="","",TabPO[[#This Row],[Order]])</f>
        <v/>
      </c>
      <c r="K89" s="39" t="str">
        <f>IF(Table7[[#This Row],[SKU]]="","",TabPO[[#This Row],[Price]])</f>
        <v/>
      </c>
      <c r="L89" s="39" t="str">
        <f>IFERROR(Table7[[#This Row],[Unit]]*Table7[[#This Row],[Cost / Unit]],"")</f>
        <v/>
      </c>
      <c r="M89" s="38" t="str">
        <f>IF(Table7[[#This Row],[SKU]]="","",MIN(Table7[[#This Row],[Unit]],SUMIF(Sales!$F$5:$F$111,Table7[[#This Row],[SKU]],Sales!$H$5:$H$111)-SUMIF($H$5:H88,H89,$M$5:M88)))</f>
        <v/>
      </c>
      <c r="N89" s="35" t="str">
        <f>IF(Table7[[#This Row],[SKU]]="","",Table7[[#This Row],[Unit]]-Table7[[#This Row],[Unit Sold]])</f>
        <v/>
      </c>
      <c r="O89" s="34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7" t="str">
        <f>IF(A90="","",SUMIF('Purchase Order'!$G$6:$G$1000,'FIFO COGS'!A90,'Purchase Order'!$L$6:$L$1000))</f>
        <v/>
      </c>
      <c r="F90" s="42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40" t="str">
        <f>IF(Table7[[#This Row],[Invoice]]="","",TabPO[[#This Row],[Order]])</f>
        <v/>
      </c>
      <c r="K90" s="39" t="str">
        <f>IF(Table7[[#This Row],[SKU]]="","",TabPO[[#This Row],[Price]])</f>
        <v/>
      </c>
      <c r="L90" s="39" t="str">
        <f>IFERROR(Table7[[#This Row],[Unit]]*Table7[[#This Row],[Cost / Unit]],"")</f>
        <v/>
      </c>
      <c r="M90" s="38" t="str">
        <f>IF(Table7[[#This Row],[SKU]]="","",MIN(Table7[[#This Row],[Unit]],SUMIF(Sales!$F$5:$F$111,Table7[[#This Row],[SKU]],Sales!$H$5:$H$111)-SUMIF($H$5:H89,H90,$M$5:M89)))</f>
        <v/>
      </c>
      <c r="N90" s="35" t="str">
        <f>IF(Table7[[#This Row],[SKU]]="","",Table7[[#This Row],[Unit]]-Table7[[#This Row],[Unit Sold]])</f>
        <v/>
      </c>
      <c r="O90" s="34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7" t="str">
        <f>IF(A91="","",SUMIF('Purchase Order'!$G$6:$G$1000,'FIFO COGS'!A91,'Purchase Order'!$L$6:$L$1000))</f>
        <v/>
      </c>
      <c r="F91" s="42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40" t="str">
        <f>IF(Table7[[#This Row],[Invoice]]="","",TabPO[[#This Row],[Order]])</f>
        <v/>
      </c>
      <c r="K91" s="39" t="str">
        <f>IF(Table7[[#This Row],[SKU]]="","",TabPO[[#This Row],[Price]])</f>
        <v/>
      </c>
      <c r="L91" s="39" t="str">
        <f>IFERROR(Table7[[#This Row],[Unit]]*Table7[[#This Row],[Cost / Unit]],"")</f>
        <v/>
      </c>
      <c r="M91" s="38" t="str">
        <f>IF(Table7[[#This Row],[SKU]]="","",MIN(Table7[[#This Row],[Unit]],SUMIF(Sales!$F$5:$F$111,Table7[[#This Row],[SKU]],Sales!$H$5:$H$111)-SUMIF($H$5:H90,H91,$M$5:M90)))</f>
        <v/>
      </c>
      <c r="N91" s="35" t="str">
        <f>IF(Table7[[#This Row],[SKU]]="","",Table7[[#This Row],[Unit]]-Table7[[#This Row],[Unit Sold]])</f>
        <v/>
      </c>
      <c r="O91" s="34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7" t="str">
        <f>IF(A92="","",SUMIF('Purchase Order'!$G$6:$G$1000,'FIFO COGS'!A92,'Purchase Order'!$L$6:$L$1000))</f>
        <v/>
      </c>
      <c r="F92" s="42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40" t="str">
        <f>IF(Table7[[#This Row],[Invoice]]="","",TabPO[[#This Row],[Order]])</f>
        <v/>
      </c>
      <c r="K92" s="39" t="str">
        <f>IF(Table7[[#This Row],[SKU]]="","",TabPO[[#This Row],[Price]])</f>
        <v/>
      </c>
      <c r="L92" s="39" t="str">
        <f>IFERROR(Table7[[#This Row],[Unit]]*Table7[[#This Row],[Cost / Unit]],"")</f>
        <v/>
      </c>
      <c r="M92" s="38" t="str">
        <f>IF(Table7[[#This Row],[SKU]]="","",MIN(Table7[[#This Row],[Unit]],SUMIF(Sales!$F$5:$F$111,Table7[[#This Row],[SKU]],Sales!$H$5:$H$111)-SUMIF($H$5:H91,H92,$M$5:M91)))</f>
        <v/>
      </c>
      <c r="N92" s="35" t="str">
        <f>IF(Table7[[#This Row],[SKU]]="","",Table7[[#This Row],[Unit]]-Table7[[#This Row],[Unit Sold]])</f>
        <v/>
      </c>
      <c r="O92" s="34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7" t="str">
        <f>IF(A93="","",SUMIF('Purchase Order'!$G$6:$G$1000,'FIFO COGS'!A93,'Purchase Order'!$L$6:$L$1000))</f>
        <v/>
      </c>
      <c r="F93" s="42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40" t="str">
        <f>IF(Table7[[#This Row],[Invoice]]="","",TabPO[[#This Row],[Order]])</f>
        <v/>
      </c>
      <c r="K93" s="39" t="str">
        <f>IF(Table7[[#This Row],[SKU]]="","",TabPO[[#This Row],[Price]])</f>
        <v/>
      </c>
      <c r="L93" s="39" t="str">
        <f>IFERROR(Table7[[#This Row],[Unit]]*Table7[[#This Row],[Cost / Unit]],"")</f>
        <v/>
      </c>
      <c r="M93" s="38" t="str">
        <f>IF(Table7[[#This Row],[SKU]]="","",MIN(Table7[[#This Row],[Unit]],SUMIF(Sales!$F$5:$F$111,Table7[[#This Row],[SKU]],Sales!$H$5:$H$111)-SUMIF($H$5:H92,H93,$M$5:M92)))</f>
        <v/>
      </c>
      <c r="N93" s="35" t="str">
        <f>IF(Table7[[#This Row],[SKU]]="","",Table7[[#This Row],[Unit]]-Table7[[#This Row],[Unit Sold]])</f>
        <v/>
      </c>
      <c r="O93" s="34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7" t="str">
        <f>IF(A94="","",SUMIF('Purchase Order'!$G$6:$G$1000,'FIFO COGS'!A94,'Purchase Order'!$L$6:$L$1000))</f>
        <v/>
      </c>
      <c r="F94" s="42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40" t="str">
        <f>IF(Table7[[#This Row],[Invoice]]="","",TabPO[[#This Row],[Order]])</f>
        <v/>
      </c>
      <c r="K94" s="39" t="str">
        <f>IF(Table7[[#This Row],[SKU]]="","",TabPO[[#This Row],[Price]])</f>
        <v/>
      </c>
      <c r="L94" s="39" t="str">
        <f>IFERROR(Table7[[#This Row],[Unit]]*Table7[[#This Row],[Cost / Unit]],"")</f>
        <v/>
      </c>
      <c r="M94" s="38" t="str">
        <f>IF(Table7[[#This Row],[SKU]]="","",MIN(Table7[[#This Row],[Unit]],SUMIF(Sales!$F$5:$F$111,Table7[[#This Row],[SKU]],Sales!$H$5:$H$111)-SUMIF($H$5:H93,H94,$M$5:M93)))</f>
        <v/>
      </c>
      <c r="N94" s="35" t="str">
        <f>IF(Table7[[#This Row],[SKU]]="","",Table7[[#This Row],[Unit]]-Table7[[#This Row],[Unit Sold]])</f>
        <v/>
      </c>
      <c r="O94" s="34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7" t="str">
        <f>IF(A95="","",SUMIF('Purchase Order'!$G$6:$G$1000,'FIFO COGS'!A95,'Purchase Order'!$L$6:$L$1000))</f>
        <v/>
      </c>
      <c r="F95" s="42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40" t="str">
        <f>IF(Table7[[#This Row],[Invoice]]="","",TabPO[[#This Row],[Order]])</f>
        <v/>
      </c>
      <c r="K95" s="39" t="str">
        <f>IF(Table7[[#This Row],[SKU]]="","",TabPO[[#This Row],[Price]])</f>
        <v/>
      </c>
      <c r="L95" s="39" t="str">
        <f>IFERROR(Table7[[#This Row],[Unit]]*Table7[[#This Row],[Cost / Unit]],"")</f>
        <v/>
      </c>
      <c r="M95" s="38" t="str">
        <f>IF(Table7[[#This Row],[SKU]]="","",MIN(Table7[[#This Row],[Unit]],SUMIF(Sales!$F$5:$F$111,Table7[[#This Row],[SKU]],Sales!$H$5:$H$111)-SUMIF($H$5:H94,H95,$M$5:M94)))</f>
        <v/>
      </c>
      <c r="N95" s="35" t="str">
        <f>IF(Table7[[#This Row],[SKU]]="","",Table7[[#This Row],[Unit]]-Table7[[#This Row],[Unit Sold]])</f>
        <v/>
      </c>
      <c r="O95" s="34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7" t="str">
        <f>IF(A96="","",SUMIF('Purchase Order'!$G$6:$G$1000,'FIFO COGS'!A96,'Purchase Order'!$L$6:$L$1000))</f>
        <v/>
      </c>
      <c r="F96" s="42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40" t="str">
        <f>IF(Table7[[#This Row],[Invoice]]="","",TabPO[[#This Row],[Order]])</f>
        <v/>
      </c>
      <c r="K96" s="39" t="str">
        <f>IF(Table7[[#This Row],[SKU]]="","",TabPO[[#This Row],[Price]])</f>
        <v/>
      </c>
      <c r="L96" s="39" t="str">
        <f>IFERROR(Table7[[#This Row],[Unit]]*Table7[[#This Row],[Cost / Unit]],"")</f>
        <v/>
      </c>
      <c r="M96" s="38" t="str">
        <f>IF(Table7[[#This Row],[SKU]]="","",MIN(Table7[[#This Row],[Unit]],SUMIF(Sales!$F$5:$F$111,Table7[[#This Row],[SKU]],Sales!$H$5:$H$111)-SUMIF($H$5:H95,H96,$M$5:M95)))</f>
        <v/>
      </c>
      <c r="N96" s="35" t="str">
        <f>IF(Table7[[#This Row],[SKU]]="","",Table7[[#This Row],[Unit]]-Table7[[#This Row],[Unit Sold]])</f>
        <v/>
      </c>
      <c r="O96" s="34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7" t="str">
        <f>IF(A97="","",SUMIF('Purchase Order'!$G$6:$G$1000,'FIFO COGS'!A97,'Purchase Order'!$L$6:$L$1000))</f>
        <v/>
      </c>
      <c r="F97" s="42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40" t="str">
        <f>IF(Table7[[#This Row],[Invoice]]="","",TabPO[[#This Row],[Order]])</f>
        <v/>
      </c>
      <c r="K97" s="39" t="str">
        <f>IF(Table7[[#This Row],[SKU]]="","",TabPO[[#This Row],[Price]])</f>
        <v/>
      </c>
      <c r="L97" s="39" t="str">
        <f>IFERROR(Table7[[#This Row],[Unit]]*Table7[[#This Row],[Cost / Unit]],"")</f>
        <v/>
      </c>
      <c r="M97" s="38" t="str">
        <f>IF(Table7[[#This Row],[SKU]]="","",MIN(Table7[[#This Row],[Unit]],SUMIF(Sales!$F$5:$F$111,Table7[[#This Row],[SKU]],Sales!$H$5:$H$111)-SUMIF($H$5:H96,H97,$M$5:M96)))</f>
        <v/>
      </c>
      <c r="N97" s="35" t="str">
        <f>IF(Table7[[#This Row],[SKU]]="","",Table7[[#This Row],[Unit]]-Table7[[#This Row],[Unit Sold]])</f>
        <v/>
      </c>
      <c r="O97" s="34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7" t="str">
        <f>IF(A98="","",SUMIF('Purchase Order'!$G$6:$G$1000,'FIFO COGS'!A98,'Purchase Order'!$L$6:$L$1000))</f>
        <v/>
      </c>
      <c r="F98" s="42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40" t="str">
        <f>IF(Table7[[#This Row],[Invoice]]="","",TabPO[[#This Row],[Order]])</f>
        <v/>
      </c>
      <c r="K98" s="39" t="str">
        <f>IF(Table7[[#This Row],[SKU]]="","",TabPO[[#This Row],[Price]])</f>
        <v/>
      </c>
      <c r="L98" s="39" t="str">
        <f>IFERROR(Table7[[#This Row],[Unit]]*Table7[[#This Row],[Cost / Unit]],"")</f>
        <v/>
      </c>
      <c r="M98" s="38" t="str">
        <f>IF(Table7[[#This Row],[SKU]]="","",MIN(Table7[[#This Row],[Unit]],SUMIF(Sales!$F$5:$F$111,Table7[[#This Row],[SKU]],Sales!$H$5:$H$111)-SUMIF($H$5:H97,H98,$M$5:M97)))</f>
        <v/>
      </c>
      <c r="N98" s="35" t="str">
        <f>IF(Table7[[#This Row],[SKU]]="","",Table7[[#This Row],[Unit]]-Table7[[#This Row],[Unit Sold]])</f>
        <v/>
      </c>
      <c r="O98" s="34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7" t="str">
        <f>IF(A99="","",SUMIF('Purchase Order'!$G$6:$G$1000,'FIFO COGS'!A99,'Purchase Order'!$L$6:$L$1000))</f>
        <v/>
      </c>
      <c r="F99" s="42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40" t="str">
        <f>IF(Table7[[#This Row],[Invoice]]="","",TabPO[[#This Row],[Order]])</f>
        <v/>
      </c>
      <c r="K99" s="39" t="str">
        <f>IF(Table7[[#This Row],[SKU]]="","",TabPO[[#This Row],[Price]])</f>
        <v/>
      </c>
      <c r="L99" s="39" t="str">
        <f>IFERROR(Table7[[#This Row],[Unit]]*Table7[[#This Row],[Cost / Unit]],"")</f>
        <v/>
      </c>
      <c r="M99" s="38" t="str">
        <f>IF(Table7[[#This Row],[SKU]]="","",MIN(Table7[[#This Row],[Unit]],SUMIF(Sales!$F$5:$F$111,Table7[[#This Row],[SKU]],Sales!$H$5:$H$111)-SUMIF($H$5:H98,H99,$M$5:M98)))</f>
        <v/>
      </c>
      <c r="N99" s="35" t="str">
        <f>IF(Table7[[#This Row],[SKU]]="","",Table7[[#This Row],[Unit]]-Table7[[#This Row],[Unit Sold]])</f>
        <v/>
      </c>
      <c r="O99" s="34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7" t="str">
        <f>IF(A100="","",SUMIF('Purchase Order'!$G$6:$G$1000,'FIFO COGS'!A100,'Purchase Order'!$L$6:$L$1000))</f>
        <v/>
      </c>
      <c r="F100" s="42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40" t="str">
        <f>IF(Table7[[#This Row],[Invoice]]="","",TabPO[[#This Row],[Order]])</f>
        <v/>
      </c>
      <c r="K100" s="39" t="str">
        <f>IF(Table7[[#This Row],[SKU]]="","",TabPO[[#This Row],[Price]])</f>
        <v/>
      </c>
      <c r="L100" s="39" t="str">
        <f>IFERROR(Table7[[#This Row],[Unit]]*Table7[[#This Row],[Cost / Unit]],"")</f>
        <v/>
      </c>
      <c r="M100" s="38" t="str">
        <f>IF(Table7[[#This Row],[SKU]]="","",MIN(Table7[[#This Row],[Unit]],SUMIF(Sales!$F$5:$F$111,Table7[[#This Row],[SKU]],Sales!$H$5:$H$111)-SUMIF($H$5:H99,H100,$M$5:M99)))</f>
        <v/>
      </c>
      <c r="N100" s="35" t="str">
        <f>IF(Table7[[#This Row],[SKU]]="","",Table7[[#This Row],[Unit]]-Table7[[#This Row],[Unit Sold]])</f>
        <v/>
      </c>
      <c r="O100" s="34" t="str">
        <f>IF(Table7[[#This Row],[SKU]]="","",Table7[[#This Row],[Stock Available]]*Table7[[#This Row],[Cost / Unit]])</f>
        <v/>
      </c>
    </row>
    <row r="101" spans="3:15">
      <c r="D101" s="7" t="str">
        <f>IF(A101="","",SUMIF('Purchase Order'!$G$6:$G$1000,'FIFO COGS'!A101,'Purchase Order'!$L$6:$L$1000))</f>
        <v/>
      </c>
      <c r="F101" s="42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40" t="str">
        <f>IF(Table7[[#This Row],[Invoice]]="","",TabPO[[#This Row],[Order]])</f>
        <v/>
      </c>
      <c r="K101" s="39" t="str">
        <f>IF(Table7[[#This Row],[SKU]]="","",TabPO[[#This Row],[Price]])</f>
        <v/>
      </c>
      <c r="L101" s="39" t="str">
        <f>IFERROR(Table7[[#This Row],[Unit]]*Table7[[#This Row],[Cost / Unit]],"")</f>
        <v/>
      </c>
      <c r="M101" s="38" t="str">
        <f>IF(Table7[[#This Row],[SKU]]="","",MIN(Table7[[#This Row],[Unit]],SUMIF(Sales!$F$5:$F$111,Table7[[#This Row],[SKU]],Sales!$H$5:$H$111)-SUMIF($H$5:H100,H101,$M$5:M100)))</f>
        <v/>
      </c>
      <c r="N101" s="35" t="str">
        <f>IF(Table7[[#This Row],[SKU]]="","",Table7[[#This Row],[Unit]]-Table7[[#This Row],[Unit Sold]])</f>
        <v/>
      </c>
      <c r="O101" s="34" t="str">
        <f>IF(Table7[[#This Row],[SKU]]="","",Table7[[#This Row],[Stock Available]]*Table7[[#This Row],[Cost / Unit]])</f>
        <v/>
      </c>
    </row>
    <row r="102" spans="3:15">
      <c r="D102" s="7" t="str">
        <f>IF(A102="","",SUMIF('Purchase Order'!$G$6:$G$1000,'FIFO COGS'!A102,'Purchase Order'!$L$6:$L$1000))</f>
        <v/>
      </c>
      <c r="F102" s="42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40" t="str">
        <f>IF(Table7[[#This Row],[Invoice]]="","",TabPO[[#This Row],[Order]])</f>
        <v/>
      </c>
      <c r="K102" s="39" t="str">
        <f>IF(Table7[[#This Row],[SKU]]="","",TabPO[[#This Row],[Price]])</f>
        <v/>
      </c>
      <c r="L102" s="39" t="str">
        <f>IFERROR(Table7[[#This Row],[Unit]]*Table7[[#This Row],[Cost / Unit]],"")</f>
        <v/>
      </c>
      <c r="M102" s="38" t="str">
        <f>IF(Table7[[#This Row],[SKU]]="","",MIN(Table7[[#This Row],[Unit]],SUMIF(Sales!$F$5:$F$111,Table7[[#This Row],[SKU]],Sales!$H$5:$H$111)-SUMIF($H$5:H101,H102,$M$5:M101)))</f>
        <v/>
      </c>
      <c r="N102" s="35" t="str">
        <f>IF(Table7[[#This Row],[SKU]]="","",Table7[[#This Row],[Unit]]-Table7[[#This Row],[Unit Sold]])</f>
        <v/>
      </c>
      <c r="O102" s="34" t="str">
        <f>IF(Table7[[#This Row],[SKU]]="","",Table7[[#This Row],[Stock Available]]*Table7[[#This Row],[Cost / Unit]])</f>
        <v/>
      </c>
    </row>
    <row r="103" spans="3:15">
      <c r="D103" s="7" t="str">
        <f>IF(A103="","",SUMIF('Purchase Order'!$G$6:$G$1000,'FIFO COGS'!A103,'Purchase Order'!$L$6:$L$1000))</f>
        <v/>
      </c>
      <c r="F103" s="42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40" t="str">
        <f>IF(Table7[[#This Row],[Invoice]]="","",TabPO[[#This Row],[Order]])</f>
        <v/>
      </c>
      <c r="K103" s="39" t="str">
        <f>IF(Table7[[#This Row],[SKU]]="","",TabPO[[#This Row],[Price]])</f>
        <v/>
      </c>
      <c r="L103" s="39" t="str">
        <f>IFERROR(Table7[[#This Row],[Unit]]*Table7[[#This Row],[Cost / Unit]],"")</f>
        <v/>
      </c>
      <c r="M103" s="38" t="str">
        <f>IF(Table7[[#This Row],[SKU]]="","",MIN(Table7[[#This Row],[Unit]],SUMIF(Sales!$F$5:$F$111,Table7[[#This Row],[SKU]],Sales!$H$5:$H$111)-SUMIF($H$5:H102,H103,$M$5:M102)))</f>
        <v/>
      </c>
      <c r="N103" s="35" t="str">
        <f>IF(Table7[[#This Row],[SKU]]="","",Table7[[#This Row],[Unit]]-Table7[[#This Row],[Unit Sold]])</f>
        <v/>
      </c>
      <c r="O103" s="34" t="str">
        <f>IF(Table7[[#This Row],[SKU]]="","",Table7[[#This Row],[Stock Available]]*Table7[[#This Row],[Cost / Unit]])</f>
        <v/>
      </c>
    </row>
    <row r="104" spans="3:15">
      <c r="D104" s="7" t="str">
        <f>IF(A104="","",SUMIF('Purchase Order'!$G$6:$G$1000,'FIFO COGS'!A104,'Purchase Order'!$L$6:$L$1000))</f>
        <v/>
      </c>
      <c r="F104" s="42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40" t="str">
        <f>IF(Table7[[#This Row],[Invoice]]="","",TabPO[[#This Row],[Order]])</f>
        <v/>
      </c>
      <c r="K104" s="39" t="str">
        <f>IF(Table7[[#This Row],[SKU]]="","",TabPO[[#This Row],[Price]])</f>
        <v/>
      </c>
      <c r="L104" s="39" t="str">
        <f>IFERROR(Table7[[#This Row],[Unit]]*Table7[[#This Row],[Cost / Unit]],"")</f>
        <v/>
      </c>
      <c r="M104" s="38" t="str">
        <f>IF(Table7[[#This Row],[SKU]]="","",MIN(Table7[[#This Row],[Unit]],SUMIF(Sales!$F$5:$F$111,Table7[[#This Row],[SKU]],Sales!$H$5:$H$111)-SUMIF($H$5:H103,H104,$M$5:M103)))</f>
        <v/>
      </c>
      <c r="N104" s="35" t="str">
        <f>IF(Table7[[#This Row],[SKU]]="","",Table7[[#This Row],[Unit]]-Table7[[#This Row],[Unit Sold]])</f>
        <v/>
      </c>
      <c r="O104" s="34" t="str">
        <f>IF(Table7[[#This Row],[SKU]]="","",Table7[[#This Row],[Stock Available]]*Table7[[#This Row],[Cost / Unit]])</f>
        <v/>
      </c>
    </row>
    <row r="105" spans="3:15">
      <c r="D105" s="7" t="str">
        <f>IF(A105="","",SUMIF('Purchase Order'!$G$6:$G$1000,'FIFO COGS'!A105,'Purchase Order'!$L$6:$L$1000))</f>
        <v/>
      </c>
      <c r="F105" s="42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40" t="str">
        <f>IF(Table7[[#This Row],[Invoice]]="","",TabPO[[#This Row],[Order]])</f>
        <v/>
      </c>
      <c r="K105" s="39" t="str">
        <f>IF(Table7[[#This Row],[SKU]]="","",TabPO[[#This Row],[Price]])</f>
        <v/>
      </c>
      <c r="L105" s="39" t="str">
        <f>IFERROR(Table7[[#This Row],[Unit]]*Table7[[#This Row],[Cost / Unit]],"")</f>
        <v/>
      </c>
      <c r="M105" s="38" t="str">
        <f>IF(Table7[[#This Row],[SKU]]="","",MIN(Table7[[#This Row],[Unit]],SUMIF(Sales!$F$5:$F$111,Table7[[#This Row],[SKU]],Sales!$H$5:$H$111)-SUMIF($H$5:H104,H105,$M$5:M104)))</f>
        <v/>
      </c>
      <c r="N105" s="35" t="str">
        <f>IF(Table7[[#This Row],[SKU]]="","",Table7[[#This Row],[Unit]]-Table7[[#This Row],[Unit Sold]])</f>
        <v/>
      </c>
      <c r="O105" s="34" t="str">
        <f>IF(Table7[[#This Row],[SKU]]="","",Table7[[#This Row],[Stock Available]]*Table7[[#This Row],[Cost / Unit]])</f>
        <v/>
      </c>
    </row>
    <row r="106" spans="3:15">
      <c r="D106" s="7" t="str">
        <f>IF(A106="","",SUMIF('Purchase Order'!$G$6:$G$1000,'FIFO COGS'!A106,'Purchase Order'!$L$6:$L$1000))</f>
        <v/>
      </c>
      <c r="F106" s="42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40" t="str">
        <f>IF(Table7[[#This Row],[Invoice]]="","",TabPO[[#This Row],[Order]])</f>
        <v/>
      </c>
      <c r="K106" s="39" t="str">
        <f>IF(Table7[[#This Row],[SKU]]="","",TabPO[[#This Row],[Price]])</f>
        <v/>
      </c>
      <c r="L106" s="39" t="str">
        <f>IFERROR(Table7[[#This Row],[Unit]]*Table7[[#This Row],[Cost / Unit]],"")</f>
        <v/>
      </c>
      <c r="M106" s="38" t="str">
        <f>IF(Table7[[#This Row],[SKU]]="","",MIN(Table7[[#This Row],[Unit]],SUMIF(Sales!$F$5:$F$111,Table7[[#This Row],[SKU]],Sales!$H$5:$H$111)-SUMIF($H$5:H105,H106,$M$5:M105)))</f>
        <v/>
      </c>
      <c r="N106" s="35" t="str">
        <f>IF(Table7[[#This Row],[SKU]]="","",Table7[[#This Row],[Unit]]-Table7[[#This Row],[Unit Sold]])</f>
        <v/>
      </c>
      <c r="O106" s="34" t="str">
        <f>IF(Table7[[#This Row],[SKU]]="","",Table7[[#This Row],[Stock Available]]*Table7[[#This Row],[Cost / Unit]])</f>
        <v/>
      </c>
    </row>
    <row r="107" spans="3:15">
      <c r="D107" s="7" t="str">
        <f>IF(A107="","",SUMIF('Purchase Order'!$G$6:$G$1000,'FIFO COGS'!A107,'Purchase Order'!$L$6:$L$1000))</f>
        <v/>
      </c>
      <c r="F107" s="42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40" t="str">
        <f>IF(Table7[[#This Row],[Invoice]]="","",TabPO[[#This Row],[Order]])</f>
        <v/>
      </c>
      <c r="K107" s="39" t="str">
        <f>IF(Table7[[#This Row],[SKU]]="","",TabPO[[#This Row],[Price]])</f>
        <v/>
      </c>
      <c r="L107" s="39" t="str">
        <f>IFERROR(Table7[[#This Row],[Unit]]*Table7[[#This Row],[Cost / Unit]],"")</f>
        <v/>
      </c>
      <c r="M107" s="38" t="str">
        <f>IF(Table7[[#This Row],[SKU]]="","",MIN(Table7[[#This Row],[Unit]],SUMIF(Sales!$F$5:$F$111,Table7[[#This Row],[SKU]],Sales!$H$5:$H$111)-SUMIF($H$5:H106,H107,$M$5:M106)))</f>
        <v/>
      </c>
      <c r="N107" s="35" t="str">
        <f>IF(Table7[[#This Row],[SKU]]="","",Table7[[#This Row],[Unit]]-Table7[[#This Row],[Unit Sold]])</f>
        <v/>
      </c>
      <c r="O107" s="34" t="str">
        <f>IF(Table7[[#This Row],[SKU]]="","",Table7[[#This Row],[Stock Available]]*Table7[[#This Row],[Cost / Unit]])</f>
        <v/>
      </c>
    </row>
    <row r="108" spans="3:15">
      <c r="D108" s="7" t="str">
        <f>IF(A108="","",SUMIF('Purchase Order'!$G$6:$G$1000,'FIFO COGS'!A108,'Purchase Order'!$L$6:$L$1000))</f>
        <v/>
      </c>
      <c r="F108" s="42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40" t="str">
        <f>IF(Table7[[#This Row],[Invoice]]="","",TabPO[[#This Row],[Order]])</f>
        <v/>
      </c>
      <c r="K108" s="39" t="str">
        <f>IF(Table7[[#This Row],[SKU]]="","",TabPO[[#This Row],[Price]])</f>
        <v/>
      </c>
      <c r="L108" s="39" t="str">
        <f>IFERROR(Table7[[#This Row],[Unit]]*Table7[[#This Row],[Cost / Unit]],"")</f>
        <v/>
      </c>
      <c r="M108" s="38" t="str">
        <f>IF(Table7[[#This Row],[SKU]]="","",MIN(Table7[[#This Row],[Unit]],SUMIF(Sales!$F$5:$F$111,Table7[[#This Row],[SKU]],Sales!$H$5:$H$111)-SUMIF($H$5:H107,H108,$M$5:M107)))</f>
        <v/>
      </c>
      <c r="N108" s="35" t="str">
        <f>IF(Table7[[#This Row],[SKU]]="","",Table7[[#This Row],[Unit]]-Table7[[#This Row],[Unit Sold]])</f>
        <v/>
      </c>
      <c r="O108" s="34" t="str">
        <f>IF(Table7[[#This Row],[SKU]]="","",Table7[[#This Row],[Stock Available]]*Table7[[#This Row],[Cost / Unit]])</f>
        <v/>
      </c>
    </row>
    <row r="109" spans="3:15">
      <c r="D109" s="7" t="str">
        <f>IF(A109="","",SUMIF('Purchase Order'!$G$6:$G$1000,'FIFO COGS'!A109,'Purchase Order'!$L$6:$L$1000))</f>
        <v/>
      </c>
      <c r="F109" s="42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40" t="str">
        <f>IF(Table7[[#This Row],[Invoice]]="","",TabPO[[#This Row],[Order]])</f>
        <v/>
      </c>
      <c r="K109" s="39" t="str">
        <f>IF(Table7[[#This Row],[SKU]]="","",TabPO[[#This Row],[Price]])</f>
        <v/>
      </c>
      <c r="L109" s="39" t="str">
        <f>IFERROR(Table7[[#This Row],[Unit]]*Table7[[#This Row],[Cost / Unit]],"")</f>
        <v/>
      </c>
      <c r="M109" s="38" t="str">
        <f>IF(Table7[[#This Row],[SKU]]="","",MIN(Table7[[#This Row],[Unit]],SUMIF(Sales!$F$5:$F$111,Table7[[#This Row],[SKU]],Sales!$H$5:$H$111)-SUMIF($H$5:H108,H109,$M$5:M108)))</f>
        <v/>
      </c>
      <c r="N109" s="35" t="str">
        <f>IF(Table7[[#This Row],[SKU]]="","",Table7[[#This Row],[Unit]]-Table7[[#This Row],[Unit Sold]])</f>
        <v/>
      </c>
      <c r="O109" s="34" t="str">
        <f>IF(Table7[[#This Row],[SKU]]="","",Table7[[#This Row],[Stock Available]]*Table7[[#This Row],[Cost / Unit]])</f>
        <v/>
      </c>
    </row>
    <row r="110" spans="3:15">
      <c r="D110" s="7" t="str">
        <f>IF(A110="","",SUMIF('Purchase Order'!$G$6:$G$1000,'FIFO COGS'!A110,'Purchase Order'!$L$6:$L$1000))</f>
        <v/>
      </c>
      <c r="F110" s="42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40" t="str">
        <f>IF(Table7[[#This Row],[Invoice]]="","",TabPO[[#This Row],[Order]])</f>
        <v/>
      </c>
      <c r="K110" s="39" t="str">
        <f>IF(Table7[[#This Row],[SKU]]="","",TabPO[[#This Row],[Price]])</f>
        <v/>
      </c>
      <c r="L110" s="39" t="str">
        <f>IFERROR(Table7[[#This Row],[Unit]]*Table7[[#This Row],[Cost / Unit]],"")</f>
        <v/>
      </c>
      <c r="M110" s="38" t="str">
        <f>IF(Table7[[#This Row],[SKU]]="","",MIN(Table7[[#This Row],[Unit]],SUMIF(Sales!$F$5:$F$111,Table7[[#This Row],[SKU]],Sales!$H$5:$H$111)-SUMIF($H$5:H109,H110,$M$5:M109)))</f>
        <v/>
      </c>
      <c r="N110" s="35" t="str">
        <f>IF(Table7[[#This Row],[SKU]]="","",Table7[[#This Row],[Unit]]-Table7[[#This Row],[Unit Sold]])</f>
        <v/>
      </c>
      <c r="O110" s="34" t="str">
        <f>IF(Table7[[#This Row],[SKU]]="","",Table7[[#This Row],[Stock Available]]*Table7[[#This Row],[Cost / Unit]])</f>
        <v/>
      </c>
    </row>
    <row r="111" spans="3:15">
      <c r="D111" s="7" t="str">
        <f>IF(A111="","",SUMIF('Purchase Order'!$G$6:$G$1000,'FIFO COGS'!A111,'Purchase Order'!$L$6:$L$1000))</f>
        <v/>
      </c>
      <c r="F111" s="42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40" t="str">
        <f>IF(Table7[[#This Row],[Invoice]]="","",TabPO[[#This Row],[Order]])</f>
        <v/>
      </c>
      <c r="K111" s="39" t="str">
        <f>IF(Table7[[#This Row],[SKU]]="","",TabPO[[#This Row],[Price]])</f>
        <v/>
      </c>
      <c r="L111" s="39" t="str">
        <f>IFERROR(Table7[[#This Row],[Unit]]*Table7[[#This Row],[Cost / Unit]],"")</f>
        <v/>
      </c>
      <c r="M111" s="38" t="str">
        <f>IF(Table7[[#This Row],[SKU]]="","",MIN(Table7[[#This Row],[Unit]],SUMIF(Sales!$F$5:$F$111,Table7[[#This Row],[SKU]],Sales!$H$5:$H$111)-SUMIF($H$5:H110,H111,$M$5:M110)))</f>
        <v/>
      </c>
      <c r="N111" s="35" t="str">
        <f>IF(Table7[[#This Row],[SKU]]="","",Table7[[#This Row],[Unit]]-Table7[[#This Row],[Unit Sold]])</f>
        <v/>
      </c>
      <c r="O111" s="34" t="str">
        <f>IF(Table7[[#This Row],[SKU]]="","",Table7[[#This Row],[Stock Available]]*Table7[[#This Row],[Cost / Unit]])</f>
        <v/>
      </c>
    </row>
    <row r="112" spans="3:15">
      <c r="D112" s="7" t="str">
        <f>IF(A112="","",SUMIF('Purchase Order'!$G$6:$G$1000,'FIFO COGS'!A112,'Purchase Order'!$L$6:$L$1000))</f>
        <v/>
      </c>
      <c r="F112" s="42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40" t="str">
        <f>IF(Table7[[#This Row],[Invoice]]="","",TabPO[[#This Row],[Order]])</f>
        <v/>
      </c>
      <c r="K112" s="39" t="str">
        <f>IF(Table7[[#This Row],[SKU]]="","",TabPO[[#This Row],[Price]])</f>
        <v/>
      </c>
      <c r="L112" s="39" t="str">
        <f>IFERROR(Table7[[#This Row],[Unit]]*Table7[[#This Row],[Cost / Unit]],"")</f>
        <v/>
      </c>
      <c r="M112" s="38" t="str">
        <f>IF(Table7[[#This Row],[SKU]]="","",MIN(Table7[[#This Row],[Unit]],SUMIF(Sales!$F$5:$F$111,Table7[[#This Row],[SKU]],Sales!$H$5:$H$111)-SUMIF($H$5:H111,H112,$M$5:M111)))</f>
        <v/>
      </c>
      <c r="N112" s="35" t="str">
        <f>IF(Table7[[#This Row],[SKU]]="","",Table7[[#This Row],[Unit]]-Table7[[#This Row],[Unit Sold]])</f>
        <v/>
      </c>
      <c r="O112" s="34" t="str">
        <f>IF(Table7[[#This Row],[SKU]]="","",Table7[[#This Row],[Stock Available]]*Table7[[#This Row],[Cost / Unit]])</f>
        <v/>
      </c>
    </row>
    <row r="113" spans="4:15">
      <c r="D113" s="7" t="str">
        <f>IF(A113="","",SUMIF('Purchase Order'!$G$6:$G$1000,'FIFO COGS'!A113,'Purchase Order'!$L$6:$L$1000))</f>
        <v/>
      </c>
      <c r="F113" s="42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40" t="str">
        <f>IF(Table7[[#This Row],[Invoice]]="","",TabPO[[#This Row],[Order]])</f>
        <v/>
      </c>
      <c r="K113" s="39" t="str">
        <f>IF(Table7[[#This Row],[SKU]]="","",TabPO[[#This Row],[Price]])</f>
        <v/>
      </c>
      <c r="L113" s="39" t="str">
        <f>IFERROR(Table7[[#This Row],[Unit]]*Table7[[#This Row],[Cost / Unit]],"")</f>
        <v/>
      </c>
      <c r="M113" s="38" t="str">
        <f>IF(Table7[[#This Row],[SKU]]="","",MIN(Table7[[#This Row],[Unit]],SUMIF(Sales!$F$5:$F$111,Table7[[#This Row],[SKU]],Sales!$H$5:$H$111)-SUMIF($H$5:H112,H113,$M$5:M112)))</f>
        <v/>
      </c>
      <c r="N113" s="35" t="str">
        <f>IF(Table7[[#This Row],[SKU]]="","",Table7[[#This Row],[Unit]]-Table7[[#This Row],[Unit Sold]])</f>
        <v/>
      </c>
      <c r="O113" s="34" t="str">
        <f>IF(Table7[[#This Row],[SKU]]="","",Table7[[#This Row],[Stock Available]]*Table7[[#This Row],[Cost / Unit]])</f>
        <v/>
      </c>
    </row>
    <row r="114" spans="4:15">
      <c r="D114" s="7" t="str">
        <f>IF(A114="","",SUMIF('Purchase Order'!$G$6:$G$1000,'FIFO COGS'!A114,'Purchase Order'!$L$6:$L$1000))</f>
        <v/>
      </c>
      <c r="F114" s="42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40" t="str">
        <f>IF(Table7[[#This Row],[Invoice]]="","",TabPO[[#This Row],[Order]])</f>
        <v/>
      </c>
      <c r="K114" s="39" t="str">
        <f>IF(Table7[[#This Row],[SKU]]="","",TabPO[[#This Row],[Price]])</f>
        <v/>
      </c>
      <c r="L114" s="39" t="str">
        <f>IFERROR(Table7[[#This Row],[Unit]]*Table7[[#This Row],[Cost / Unit]],"")</f>
        <v/>
      </c>
      <c r="M114" s="38" t="str">
        <f>IF(Table7[[#This Row],[SKU]]="","",MIN(Table7[[#This Row],[Unit]],SUMIF(Sales!$F$5:$F$111,Table7[[#This Row],[SKU]],Sales!$H$5:$H$111)-SUMIF($H$5:H113,H114,$M$5:M113)))</f>
        <v/>
      </c>
      <c r="N114" s="35" t="str">
        <f>IF(Table7[[#This Row],[SKU]]="","",Table7[[#This Row],[Unit]]-Table7[[#This Row],[Unit Sold]])</f>
        <v/>
      </c>
      <c r="O114" s="34" t="str">
        <f>IF(Table7[[#This Row],[SKU]]="","",Table7[[#This Row],[Stock Available]]*Table7[[#This Row],[Cost / Unit]])</f>
        <v/>
      </c>
    </row>
    <row r="115" spans="4:15">
      <c r="D115" s="7" t="str">
        <f>IF(A115="","",SUMIF('Purchase Order'!$G$6:$G$1000,'FIFO COGS'!A115,'Purchase Order'!$L$6:$L$1000))</f>
        <v/>
      </c>
      <c r="F115" s="42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40" t="str">
        <f>IF(Table7[[#This Row],[Invoice]]="","",TabPO[[#This Row],[Order]])</f>
        <v/>
      </c>
      <c r="K115" s="39" t="str">
        <f>IF(Table7[[#This Row],[SKU]]="","",TabPO[[#This Row],[Price]])</f>
        <v/>
      </c>
      <c r="L115" s="39" t="str">
        <f>IFERROR(Table7[[#This Row],[Unit]]*Table7[[#This Row],[Cost / Unit]],"")</f>
        <v/>
      </c>
      <c r="M115" s="38" t="str">
        <f>IF(Table7[[#This Row],[SKU]]="","",MIN(Table7[[#This Row],[Unit]],SUMIF(Sales!$F$5:$F$111,Table7[[#This Row],[SKU]],Sales!$H$5:$H$111)-SUMIF($H$5:H114,H115,$M$5:M114)))</f>
        <v/>
      </c>
      <c r="N115" s="35" t="str">
        <f>IF(Table7[[#This Row],[SKU]]="","",Table7[[#This Row],[Unit]]-Table7[[#This Row],[Unit Sold]])</f>
        <v/>
      </c>
      <c r="O115" s="34" t="str">
        <f>IF(Table7[[#This Row],[SKU]]="","",Table7[[#This Row],[Stock Available]]*Table7[[#This Row],[Cost / Unit]])</f>
        <v/>
      </c>
    </row>
    <row r="116" spans="4:15">
      <c r="D116" s="7" t="str">
        <f>IF(A116="","",SUMIF('Purchase Order'!$G$6:$G$1000,'FIFO COGS'!A116,'Purchase Order'!$L$6:$L$1000))</f>
        <v/>
      </c>
      <c r="F116" s="42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40" t="str">
        <f>IF(Table7[[#This Row],[Invoice]]="","",TabPO[[#This Row],[Order]])</f>
        <v/>
      </c>
      <c r="K116" s="39" t="str">
        <f>IF(Table7[[#This Row],[SKU]]="","",TabPO[[#This Row],[Price]])</f>
        <v/>
      </c>
      <c r="L116" s="39" t="str">
        <f>IFERROR(Table7[[#This Row],[Unit]]*Table7[[#This Row],[Cost / Unit]],"")</f>
        <v/>
      </c>
      <c r="M116" s="38" t="str">
        <f>IF(Table7[[#This Row],[SKU]]="","",MIN(Table7[[#This Row],[Unit]],SUMIF(Sales!$F$5:$F$111,Table7[[#This Row],[SKU]],Sales!$H$5:$H$111)-SUMIF($H$5:H115,H116,$M$5:M115)))</f>
        <v/>
      </c>
      <c r="N116" s="35" t="str">
        <f>IF(Table7[[#This Row],[SKU]]="","",Table7[[#This Row],[Unit]]-Table7[[#This Row],[Unit Sold]])</f>
        <v/>
      </c>
      <c r="O116" s="34" t="str">
        <f>IF(Table7[[#This Row],[SKU]]="","",Table7[[#This Row],[Stock Available]]*Table7[[#This Row],[Cost / Unit]])</f>
        <v/>
      </c>
    </row>
    <row r="117" spans="4:15">
      <c r="D117" s="7" t="str">
        <f>IF(A117="","",SUMIF('Purchase Order'!$G$6:$G$1000,'FIFO COGS'!A117,'Purchase Order'!$L$6:$L$1000))</f>
        <v/>
      </c>
      <c r="F117" s="42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40" t="str">
        <f>IF(Table7[[#This Row],[Invoice]]="","",TabPO[[#This Row],[Order]])</f>
        <v/>
      </c>
      <c r="K117" s="39" t="str">
        <f>IF(Table7[[#This Row],[SKU]]="","",TabPO[[#This Row],[Price]])</f>
        <v/>
      </c>
      <c r="L117" s="39" t="str">
        <f>IFERROR(Table7[[#This Row],[Unit]]*Table7[[#This Row],[Cost / Unit]],"")</f>
        <v/>
      </c>
      <c r="M117" s="38" t="str">
        <f>IF(Table7[[#This Row],[SKU]]="","",MIN(Table7[[#This Row],[Unit]],SUMIF(Sales!$F$5:$F$111,Table7[[#This Row],[SKU]],Sales!$H$5:$H$111)-SUMIF($H$5:H116,H117,$M$5:M116)))</f>
        <v/>
      </c>
      <c r="N117" s="35" t="str">
        <f>IF(Table7[[#This Row],[SKU]]="","",Table7[[#This Row],[Unit]]-Table7[[#This Row],[Unit Sold]])</f>
        <v/>
      </c>
      <c r="O117" s="34" t="str">
        <f>IF(Table7[[#This Row],[SKU]]="","",Table7[[#This Row],[Stock Available]]*Table7[[#This Row],[Cost / Unit]])</f>
        <v/>
      </c>
    </row>
    <row r="118" spans="4:15">
      <c r="D118" s="7" t="str">
        <f>IF(A118="","",SUMIF('Purchase Order'!$G$6:$G$1000,'FIFO COGS'!A118,'Purchase Order'!$L$6:$L$1000))</f>
        <v/>
      </c>
      <c r="F118" s="42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40" t="str">
        <f>IF(Table7[[#This Row],[Invoice]]="","",TabPO[[#This Row],[Order]])</f>
        <v/>
      </c>
      <c r="K118" s="39" t="str">
        <f>IF(Table7[[#This Row],[SKU]]="","",TabPO[[#This Row],[Price]])</f>
        <v/>
      </c>
      <c r="L118" s="39" t="str">
        <f>IFERROR(Table7[[#This Row],[Unit]]*Table7[[#This Row],[Cost / Unit]],"")</f>
        <v/>
      </c>
      <c r="M118" s="38" t="str">
        <f>IF(Table7[[#This Row],[SKU]]="","",MIN(Table7[[#This Row],[Unit]],SUMIF(Sales!$F$5:$F$111,Table7[[#This Row],[SKU]],Sales!$H$5:$H$111)-SUMIF($H$5:H117,H118,$M$5:M117)))</f>
        <v/>
      </c>
      <c r="N118" s="35" t="str">
        <f>IF(Table7[[#This Row],[SKU]]="","",Table7[[#This Row],[Unit]]-Table7[[#This Row],[Unit Sold]])</f>
        <v/>
      </c>
      <c r="O118" s="34" t="str">
        <f>IF(Table7[[#This Row],[SKU]]="","",Table7[[#This Row],[Stock Available]]*Table7[[#This Row],[Cost / Unit]])</f>
        <v/>
      </c>
    </row>
    <row r="119" spans="4:15">
      <c r="D119" s="7" t="str">
        <f>IF(A119="","",SUMIF('Purchase Order'!$G$6:$G$1000,'FIFO COGS'!A119,'Purchase Order'!$L$6:$L$1000))</f>
        <v/>
      </c>
      <c r="F119" s="42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40" t="str">
        <f>IF(Table7[[#This Row],[Invoice]]="","",TabPO[[#This Row],[Order]])</f>
        <v/>
      </c>
      <c r="K119" s="39" t="str">
        <f>IF(Table7[[#This Row],[SKU]]="","",TabPO[[#This Row],[Price]])</f>
        <v/>
      </c>
      <c r="L119" s="39" t="str">
        <f>IFERROR(Table7[[#This Row],[Unit]]*Table7[[#This Row],[Cost / Unit]],"")</f>
        <v/>
      </c>
      <c r="M119" s="38" t="str">
        <f>IF(Table7[[#This Row],[SKU]]="","",MIN(Table7[[#This Row],[Unit]],SUMIF(Sales!$F$5:$F$111,Table7[[#This Row],[SKU]],Sales!$H$5:$H$111)-SUMIF($H$5:H118,H119,$M$5:M118)))</f>
        <v/>
      </c>
      <c r="N119" s="35" t="str">
        <f>IF(Table7[[#This Row],[SKU]]="","",Table7[[#This Row],[Unit]]-Table7[[#This Row],[Unit Sold]])</f>
        <v/>
      </c>
      <c r="O119" s="34" t="str">
        <f>IF(Table7[[#This Row],[SKU]]="","",Table7[[#This Row],[Stock Available]]*Table7[[#This Row],[Cost / Unit]])</f>
        <v/>
      </c>
    </row>
    <row r="120" spans="4:15">
      <c r="D120" s="7" t="str">
        <f>IF(A120="","",SUMIF('Purchase Order'!$G$6:$G$1000,'FIFO COGS'!A120,'Purchase Order'!$L$6:$L$1000))</f>
        <v/>
      </c>
      <c r="F120" s="42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40" t="str">
        <f>IF(Table7[[#This Row],[Invoice]]="","",TabPO[[#This Row],[Order]])</f>
        <v/>
      </c>
      <c r="K120" s="39" t="str">
        <f>IF(Table7[[#This Row],[SKU]]="","",TabPO[[#This Row],[Price]])</f>
        <v/>
      </c>
      <c r="L120" s="39" t="str">
        <f>IFERROR(Table7[[#This Row],[Unit]]*Table7[[#This Row],[Cost / Unit]],"")</f>
        <v/>
      </c>
      <c r="M120" s="38" t="str">
        <f>IF(Table7[[#This Row],[SKU]]="","",MIN(Table7[[#This Row],[Unit]],SUMIF(Sales!$F$5:$F$111,Table7[[#This Row],[SKU]],Sales!$H$5:$H$111)-SUMIF($H$5:H119,H120,$M$5:M119)))</f>
        <v/>
      </c>
      <c r="N120" s="35" t="str">
        <f>IF(Table7[[#This Row],[SKU]]="","",Table7[[#This Row],[Unit]]-Table7[[#This Row],[Unit Sold]])</f>
        <v/>
      </c>
      <c r="O120" s="34" t="str">
        <f>IF(Table7[[#This Row],[SKU]]="","",Table7[[#This Row],[Stock Available]]*Table7[[#This Row],[Cost / Unit]])</f>
        <v/>
      </c>
    </row>
    <row r="121" spans="4:15">
      <c r="D121" s="7" t="str">
        <f>IF(A121="","",SUMIF('Purchase Order'!$G$6:$G$1000,'FIFO COGS'!A121,'Purchase Order'!$L$6:$L$1000))</f>
        <v/>
      </c>
      <c r="F121" s="42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40" t="str">
        <f>IF(Table7[[#This Row],[Invoice]]="","",TabPO[[#This Row],[Order]])</f>
        <v/>
      </c>
      <c r="K121" s="39" t="str">
        <f>IF(Table7[[#This Row],[SKU]]="","",TabPO[[#This Row],[Price]])</f>
        <v/>
      </c>
      <c r="L121" s="39" t="str">
        <f>IFERROR(Table7[[#This Row],[Unit]]*Table7[[#This Row],[Cost / Unit]],"")</f>
        <v/>
      </c>
      <c r="M121" s="38" t="str">
        <f>IF(Table7[[#This Row],[SKU]]="","",MIN(Table7[[#This Row],[Unit]],SUMIF(Sales!$F$5:$F$111,Table7[[#This Row],[SKU]],Sales!$H$5:$H$111)-SUMIF($H$5:H120,H121,$M$5:M120)))</f>
        <v/>
      </c>
      <c r="N121" s="35" t="str">
        <f>IF(Table7[[#This Row],[SKU]]="","",Table7[[#This Row],[Unit]]-Table7[[#This Row],[Unit Sold]])</f>
        <v/>
      </c>
      <c r="O121" s="34" t="str">
        <f>IF(Table7[[#This Row],[SKU]]="","",Table7[[#This Row],[Stock Available]]*Table7[[#This Row],[Cost / Unit]])</f>
        <v/>
      </c>
    </row>
    <row r="122" spans="4:15">
      <c r="D122" s="7" t="str">
        <f>IF(A122="","",SUMIF('Purchase Order'!$G$6:$G$1000,'FIFO COGS'!A122,'Purchase Order'!$L$6:$L$1000))</f>
        <v/>
      </c>
      <c r="F122" s="42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40" t="str">
        <f>IF(Table7[[#This Row],[Invoice]]="","",TabPO[[#This Row],[Order]])</f>
        <v/>
      </c>
      <c r="K122" s="39" t="str">
        <f>IF(Table7[[#This Row],[SKU]]="","",TabPO[[#This Row],[Price]])</f>
        <v/>
      </c>
      <c r="L122" s="39" t="str">
        <f>IFERROR(Table7[[#This Row],[Unit]]*Table7[[#This Row],[Cost / Unit]],"")</f>
        <v/>
      </c>
      <c r="M122" s="38" t="str">
        <f>IF(Table7[[#This Row],[SKU]]="","",MIN(Table7[[#This Row],[Unit]],SUMIF(Sales!$F$5:$F$111,Table7[[#This Row],[SKU]],Sales!$H$5:$H$111)-SUMIF($H$5:H121,H122,$M$5:M121)))</f>
        <v/>
      </c>
      <c r="N122" s="35" t="str">
        <f>IF(Table7[[#This Row],[SKU]]="","",Table7[[#This Row],[Unit]]-Table7[[#This Row],[Unit Sold]])</f>
        <v/>
      </c>
      <c r="O122" s="34" t="str">
        <f>IF(Table7[[#This Row],[SKU]]="","",Table7[[#This Row],[Stock Available]]*Table7[[#This Row],[Cost / Unit]])</f>
        <v/>
      </c>
    </row>
    <row r="123" spans="4:15">
      <c r="D123" s="7" t="str">
        <f>IF(A123="","",SUMIF('Purchase Order'!$G$6:$G$1000,'FIFO COGS'!A123,'Purchase Order'!$L$6:$L$1000))</f>
        <v/>
      </c>
      <c r="F123" s="42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40" t="str">
        <f>IF(Table7[[#This Row],[Invoice]]="","",TabPO[[#This Row],[Order]])</f>
        <v/>
      </c>
      <c r="K123" s="39" t="str">
        <f>IF(Table7[[#This Row],[SKU]]="","",TabPO[[#This Row],[Price]])</f>
        <v/>
      </c>
      <c r="L123" s="39" t="str">
        <f>IFERROR(Table7[[#This Row],[Unit]]*Table7[[#This Row],[Cost / Unit]],"")</f>
        <v/>
      </c>
      <c r="M123" s="38" t="str">
        <f>IF(Table7[[#This Row],[SKU]]="","",MIN(Table7[[#This Row],[Unit]],SUMIF(Sales!$F$5:$F$111,Table7[[#This Row],[SKU]],Sales!$H$5:$H$111)-SUMIF($H$5:H122,H123,$M$5:M122)))</f>
        <v/>
      </c>
      <c r="N123" s="35" t="str">
        <f>IF(Table7[[#This Row],[SKU]]="","",Table7[[#This Row],[Unit]]-Table7[[#This Row],[Unit Sold]])</f>
        <v/>
      </c>
      <c r="O123" s="34" t="str">
        <f>IF(Table7[[#This Row],[SKU]]="","",Table7[[#This Row],[Stock Available]]*Table7[[#This Row],[Cost / Unit]])</f>
        <v/>
      </c>
    </row>
    <row r="124" spans="4:15">
      <c r="D124" s="7" t="str">
        <f>IF(A124="","",SUMIF('Purchase Order'!$G$6:$G$1000,'FIFO COGS'!A124,'Purchase Order'!$L$6:$L$1000))</f>
        <v/>
      </c>
      <c r="F124" s="42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40" t="str">
        <f>IF(Table7[[#This Row],[Invoice]]="","",TabPO[[#This Row],[Order]])</f>
        <v/>
      </c>
      <c r="K124" s="39" t="str">
        <f>IF(Table7[[#This Row],[SKU]]="","",TabPO[[#This Row],[Price]])</f>
        <v/>
      </c>
      <c r="L124" s="39" t="str">
        <f>IFERROR(Table7[[#This Row],[Unit]]*Table7[[#This Row],[Cost / Unit]],"")</f>
        <v/>
      </c>
      <c r="M124" s="38" t="str">
        <f>IF(Table7[[#This Row],[SKU]]="","",MIN(Table7[[#This Row],[Unit]],SUMIF(Sales!$F$5:$F$111,Table7[[#This Row],[SKU]],Sales!$H$5:$H$111)-SUMIF($H$5:H123,H124,$M$5:M123)))</f>
        <v/>
      </c>
      <c r="N124" s="35" t="str">
        <f>IF(Table7[[#This Row],[SKU]]="","",Table7[[#This Row],[Unit]]-Table7[[#This Row],[Unit Sold]])</f>
        <v/>
      </c>
      <c r="O124" s="34" t="str">
        <f>IF(Table7[[#This Row],[SKU]]="","",Table7[[#This Row],[Stock Available]]*Table7[[#This Row],[Cost / Unit]])</f>
        <v/>
      </c>
    </row>
    <row r="125" spans="4:15">
      <c r="D125" s="7" t="str">
        <f>IF(A125="","",SUMIF('Purchase Order'!$G$6:$G$1000,'FIFO COGS'!A125,'Purchase Order'!$L$6:$L$1000))</f>
        <v/>
      </c>
      <c r="F125" s="42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40" t="str">
        <f>IF(Table7[[#This Row],[Invoice]]="","",TabPO[[#This Row],[Order]])</f>
        <v/>
      </c>
      <c r="K125" s="39" t="str">
        <f>IF(Table7[[#This Row],[SKU]]="","",TabPO[[#This Row],[Price]])</f>
        <v/>
      </c>
      <c r="L125" s="39" t="str">
        <f>IFERROR(Table7[[#This Row],[Unit]]*Table7[[#This Row],[Cost / Unit]],"")</f>
        <v/>
      </c>
      <c r="M125" s="38" t="str">
        <f>IF(Table7[[#This Row],[SKU]]="","",MIN(Table7[[#This Row],[Unit]],SUMIF(Sales!$F$5:$F$111,Table7[[#This Row],[SKU]],Sales!$H$5:$H$111)-SUMIF($H$5:H124,H125,$M$5:M124)))</f>
        <v/>
      </c>
      <c r="N125" s="35" t="str">
        <f>IF(Table7[[#This Row],[SKU]]="","",Table7[[#This Row],[Unit]]-Table7[[#This Row],[Unit Sold]])</f>
        <v/>
      </c>
      <c r="O125" s="34" t="str">
        <f>IF(Table7[[#This Row],[SKU]]="","",Table7[[#This Row],[Stock Available]]*Table7[[#This Row],[Cost / Unit]])</f>
        <v/>
      </c>
    </row>
    <row r="126" spans="4:15">
      <c r="D126" s="7" t="str">
        <f>IF(A126="","",SUMIF('Purchase Order'!$G$6:$G$1000,'FIFO COGS'!A126,'Purchase Order'!$L$6:$L$1000))</f>
        <v/>
      </c>
      <c r="F126" s="42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40" t="str">
        <f>IF(Table7[[#This Row],[Invoice]]="","",TabPO[[#This Row],[Order]])</f>
        <v/>
      </c>
      <c r="K126" s="39" t="str">
        <f>IF(Table7[[#This Row],[SKU]]="","",TabPO[[#This Row],[Price]])</f>
        <v/>
      </c>
      <c r="L126" s="39" t="str">
        <f>IFERROR(Table7[[#This Row],[Unit]]*Table7[[#This Row],[Cost / Unit]],"")</f>
        <v/>
      </c>
      <c r="M126" s="38" t="str">
        <f>IF(Table7[[#This Row],[SKU]]="","",MIN(Table7[[#This Row],[Unit]],SUMIF(Sales!$F$5:$F$111,Table7[[#This Row],[SKU]],Sales!$H$5:$H$111)-SUMIF($H$5:H125,H126,$M$5:M125)))</f>
        <v/>
      </c>
      <c r="N126" s="35" t="str">
        <f>IF(Table7[[#This Row],[SKU]]="","",Table7[[#This Row],[Unit]]-Table7[[#This Row],[Unit Sold]])</f>
        <v/>
      </c>
      <c r="O126" s="34" t="str">
        <f>IF(Table7[[#This Row],[SKU]]="","",Table7[[#This Row],[Stock Available]]*Table7[[#This Row],[Cost / Unit]])</f>
        <v/>
      </c>
    </row>
    <row r="127" spans="4:15">
      <c r="D127" s="7" t="str">
        <f>IF(A127="","",SUMIF('Purchase Order'!$G$6:$G$1000,'FIFO COGS'!A127,'Purchase Order'!$L$6:$L$1000))</f>
        <v/>
      </c>
      <c r="F127" s="42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40" t="str">
        <f>IF(Table7[[#This Row],[Invoice]]="","",TabPO[[#This Row],[Order]])</f>
        <v/>
      </c>
      <c r="K127" s="39" t="str">
        <f>IF(Table7[[#This Row],[SKU]]="","",TabPO[[#This Row],[Price]])</f>
        <v/>
      </c>
      <c r="L127" s="39" t="str">
        <f>IFERROR(Table7[[#This Row],[Unit]]*Table7[[#This Row],[Cost / Unit]],"")</f>
        <v/>
      </c>
      <c r="M127" s="38" t="str">
        <f>IF(Table7[[#This Row],[SKU]]="","",MIN(Table7[[#This Row],[Unit]],SUMIF(Sales!$F$5:$F$111,Table7[[#This Row],[SKU]],Sales!$H$5:$H$111)-SUMIF($H$5:H126,H127,$M$5:M126)))</f>
        <v/>
      </c>
      <c r="N127" s="35" t="str">
        <f>IF(Table7[[#This Row],[SKU]]="","",Table7[[#This Row],[Unit]]-Table7[[#This Row],[Unit Sold]])</f>
        <v/>
      </c>
      <c r="O127" s="34" t="str">
        <f>IF(Table7[[#This Row],[SKU]]="","",Table7[[#This Row],[Stock Available]]*Table7[[#This Row],[Cost / Unit]])</f>
        <v/>
      </c>
    </row>
    <row r="128" spans="4:15">
      <c r="D128" s="7" t="str">
        <f>IF(A128="","",SUMIF('Purchase Order'!$G$6:$G$1000,'FIFO COGS'!A128,'Purchase Order'!$L$6:$L$1000))</f>
        <v/>
      </c>
      <c r="F128" s="42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40" t="str">
        <f>IF(Table7[[#This Row],[Invoice]]="","",TabPO[[#This Row],[Order]])</f>
        <v/>
      </c>
      <c r="K128" s="39" t="str">
        <f>IF(Table7[[#This Row],[SKU]]="","",TabPO[[#This Row],[Price]])</f>
        <v/>
      </c>
      <c r="L128" s="39" t="str">
        <f>IFERROR(Table7[[#This Row],[Unit]]*Table7[[#This Row],[Cost / Unit]],"")</f>
        <v/>
      </c>
      <c r="M128" s="38" t="str">
        <f>IF(Table7[[#This Row],[SKU]]="","",MIN(Table7[[#This Row],[Unit]],SUMIF(Sales!$F$5:$F$111,Table7[[#This Row],[SKU]],Sales!$H$5:$H$111)-SUMIF($H$5:H127,H128,$M$5:M127)))</f>
        <v/>
      </c>
      <c r="N128" s="35" t="str">
        <f>IF(Table7[[#This Row],[SKU]]="","",Table7[[#This Row],[Unit]]-Table7[[#This Row],[Unit Sold]])</f>
        <v/>
      </c>
      <c r="O128" s="34" t="str">
        <f>IF(Table7[[#This Row],[SKU]]="","",Table7[[#This Row],[Stock Available]]*Table7[[#This Row],[Cost / Unit]])</f>
        <v/>
      </c>
    </row>
    <row r="129" spans="4:15">
      <c r="D129" s="7" t="str">
        <f>IF(A129="","",SUMIF('Purchase Order'!$G$6:$G$1000,'FIFO COGS'!A129,'Purchase Order'!$L$6:$L$1000))</f>
        <v/>
      </c>
      <c r="F129" s="42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41" t="str">
        <f>IF(Table7[[#This Row],[Invoice]]="","",TabPO[[#This Row],[Order]])</f>
        <v/>
      </c>
      <c r="K129" s="33" t="str">
        <f>IF(Table7[[#This Row],[SKU]]="","",TabPO[[#This Row],[Price]])</f>
        <v/>
      </c>
      <c r="L129" s="33" t="str">
        <f>IFERROR(Table7[[#This Row],[Unit]]*Table7[[#This Row],[Cost / Unit]],"")</f>
        <v/>
      </c>
      <c r="M129" s="38" t="str">
        <f>IF(Table7[[#This Row],[SKU]]="","",MIN(Table7[[#This Row],[Unit]],SUMIF(Sales!$F$5:$F$111,Table7[[#This Row],[SKU]],Sales!$H$5:$H$111)-SUMIF($H$5:H128,H129,$M$5:M128)))</f>
        <v/>
      </c>
      <c r="N129" s="35" t="str">
        <f>IF(Table7[[#This Row],[SKU]]="","",Table7[[#This Row],[Unit]]-Table7[[#This Row],[Unit Sold]])</f>
        <v/>
      </c>
      <c r="O129" s="34" t="str">
        <f>IF(Table7[[#This Row],[SKU]]="","",Table7[[#This Row],[Stock Available]]*Table7[[#This Row],[Cost / Unit]])</f>
        <v/>
      </c>
    </row>
    <row r="130" spans="4:15">
      <c r="D130" s="7" t="str">
        <f>IF(A130="","",SUMIF('Purchase Order'!$G$6:$G$1000,'FIFO COGS'!A130,'Purchase Order'!$L$6:$L$1000))</f>
        <v/>
      </c>
      <c r="F130" s="42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41" t="str">
        <f>IF(Table7[[#This Row],[Invoice]]="","",TabPO[[#This Row],[Order]])</f>
        <v/>
      </c>
      <c r="K130" s="33" t="str">
        <f>IF(Table7[[#This Row],[SKU]]="","",TabPO[[#This Row],[Price]])</f>
        <v/>
      </c>
      <c r="L130" s="33" t="str">
        <f>IFERROR(Table7[[#This Row],[Unit]]*Table7[[#This Row],[Cost / Unit]],"")</f>
        <v/>
      </c>
      <c r="M130" s="38" t="str">
        <f>IF(Table7[[#This Row],[SKU]]="","",MIN(Table7[[#This Row],[Unit]],SUMIF(Sales!$F$5:$F$111,Table7[[#This Row],[SKU]],Sales!$H$5:$H$111)-SUMIF($H$5:H129,H130,$M$5:M129)))</f>
        <v/>
      </c>
      <c r="N130" s="35" t="str">
        <f>IF(Table7[[#This Row],[SKU]]="","",Table7[[#This Row],[Unit]]-Table7[[#This Row],[Unit Sold]])</f>
        <v/>
      </c>
      <c r="O130" s="34" t="str">
        <f>IF(Table7[[#This Row],[SKU]]="","",Table7[[#This Row],[Stock Available]]*Table7[[#This Row],[Cost / Unit]])</f>
        <v/>
      </c>
    </row>
    <row r="131" spans="4:15">
      <c r="D131" s="7" t="str">
        <f>IF(A131="","",SUMIF('Purchase Order'!$G$6:$G$1000,'FIFO COGS'!A131,'Purchase Order'!$L$6:$L$1000))</f>
        <v/>
      </c>
      <c r="F131" s="42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41" t="str">
        <f>IF(Table7[[#This Row],[Invoice]]="","",TabPO[[#This Row],[Order]])</f>
        <v/>
      </c>
      <c r="K131" s="33" t="str">
        <f>IF(Table7[[#This Row],[SKU]]="","",TabPO[[#This Row],[Price]])</f>
        <v/>
      </c>
      <c r="L131" s="33" t="str">
        <f>IFERROR(Table7[[#This Row],[Unit]]*Table7[[#This Row],[Cost / Unit]],"")</f>
        <v/>
      </c>
      <c r="M131" s="38" t="str">
        <f>IF(Table7[[#This Row],[SKU]]="","",MIN(Table7[[#This Row],[Unit]],SUMIF(Sales!$F$5:$F$111,Table7[[#This Row],[SKU]],Sales!$H$5:$H$111)-SUMIF($H$5:H130,H131,$M$5:M130)))</f>
        <v/>
      </c>
      <c r="N131" s="35" t="str">
        <f>IF(Table7[[#This Row],[SKU]]="","",Table7[[#This Row],[Unit]]-Table7[[#This Row],[Unit Sold]])</f>
        <v/>
      </c>
      <c r="O131" s="34" t="str">
        <f>IF(Table7[[#This Row],[SKU]]="","",Table7[[#This Row],[Stock Available]]*Table7[[#This Row],[Cost / Unit]])</f>
        <v/>
      </c>
    </row>
    <row r="132" spans="4:15">
      <c r="D132" s="7" t="str">
        <f>IF(A132="","",SUMIF('Purchase Order'!$G$6:$G$1000,'FIFO COGS'!A132,'Purchase Order'!$L$6:$L$1000))</f>
        <v/>
      </c>
      <c r="F132" s="42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41" t="str">
        <f>IF(Table7[[#This Row],[Invoice]]="","",TabPO[[#This Row],[Order]])</f>
        <v/>
      </c>
      <c r="K132" s="33" t="str">
        <f>IF(Table7[[#This Row],[SKU]]="","",TabPO[[#This Row],[Price]])</f>
        <v/>
      </c>
      <c r="L132" s="33" t="str">
        <f>IFERROR(Table7[[#This Row],[Unit]]*Table7[[#This Row],[Cost / Unit]],"")</f>
        <v/>
      </c>
      <c r="M132" s="38" t="str">
        <f>IF(Table7[[#This Row],[SKU]]="","",MIN(Table7[[#This Row],[Unit]],SUMIF(Sales!$F$5:$F$111,Table7[[#This Row],[SKU]],Sales!$H$5:$H$111)-SUMIF($H$5:H131,H132,$M$5:M131)))</f>
        <v/>
      </c>
      <c r="N132" s="35" t="str">
        <f>IF(Table7[[#This Row],[SKU]]="","",Table7[[#This Row],[Unit]]-Table7[[#This Row],[Unit Sold]])</f>
        <v/>
      </c>
      <c r="O132" s="34" t="str">
        <f>IF(Table7[[#This Row],[SKU]]="","",Table7[[#This Row],[Stock Available]]*Table7[[#This Row],[Cost / Unit]])</f>
        <v/>
      </c>
    </row>
    <row r="133" spans="4:15">
      <c r="D133" s="7" t="str">
        <f>IF(A133="","",SUMIF('Purchase Order'!$G$6:$G$1000,'FIFO COGS'!A133,'Purchase Order'!$L$6:$L$1000))</f>
        <v/>
      </c>
      <c r="F133" s="42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41" t="str">
        <f>IF(Table7[[#This Row],[Invoice]]="","",TabPO[[#This Row],[Order]])</f>
        <v/>
      </c>
      <c r="K133" s="33" t="str">
        <f>IF(Table7[[#This Row],[SKU]]="","",TabPO[[#This Row],[Price]])</f>
        <v/>
      </c>
      <c r="L133" s="33" t="str">
        <f>IFERROR(Table7[[#This Row],[Unit]]*Table7[[#This Row],[Cost / Unit]],"")</f>
        <v/>
      </c>
      <c r="M133" s="38" t="str">
        <f>IF(Table7[[#This Row],[SKU]]="","",MIN(Table7[[#This Row],[Unit]],SUMIF(Sales!$F$5:$F$111,Table7[[#This Row],[SKU]],Sales!$H$5:$H$111)-SUMIF($H$5:H132,H133,$M$5:M132)))</f>
        <v/>
      </c>
      <c r="N133" s="35" t="str">
        <f>IF(Table7[[#This Row],[SKU]]="","",Table7[[#This Row],[Unit]]-Table7[[#This Row],[Unit Sold]])</f>
        <v/>
      </c>
      <c r="O133" s="34" t="str">
        <f>IF(Table7[[#This Row],[SKU]]="","",Table7[[#This Row],[Stock Available]]*Table7[[#This Row],[Cost / Unit]])</f>
        <v/>
      </c>
    </row>
    <row r="134" spans="4:15">
      <c r="D134" s="7" t="str">
        <f>IF(A134="","",SUMIF('Purchase Order'!$G$6:$G$1000,'FIFO COGS'!A134,'Purchase Order'!$L$6:$L$1000))</f>
        <v/>
      </c>
      <c r="F134" s="42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41" t="str">
        <f>IF(Table7[[#This Row],[Invoice]]="","",TabPO[[#This Row],[Order]])</f>
        <v/>
      </c>
      <c r="K134" s="33" t="str">
        <f>IF(Table7[[#This Row],[SKU]]="","",TabPO[[#This Row],[Price]])</f>
        <v/>
      </c>
      <c r="L134" s="33" t="str">
        <f>IFERROR(Table7[[#This Row],[Unit]]*Table7[[#This Row],[Cost / Unit]],"")</f>
        <v/>
      </c>
      <c r="M134" s="38" t="str">
        <f>IF(Table7[[#This Row],[SKU]]="","",MIN(Table7[[#This Row],[Unit]],SUMIF(Sales!$F$5:$F$111,Table7[[#This Row],[SKU]],Sales!$H$5:$H$111)-SUMIF($H$5:H133,H134,$M$5:M133)))</f>
        <v/>
      </c>
      <c r="N134" s="35" t="str">
        <f>IF(Table7[[#This Row],[SKU]]="","",Table7[[#This Row],[Unit]]-Table7[[#This Row],[Unit Sold]])</f>
        <v/>
      </c>
      <c r="O134" s="34" t="str">
        <f>IF(Table7[[#This Row],[SKU]]="","",Table7[[#This Row],[Stock Available]]*Table7[[#This Row],[Cost / Unit]])</f>
        <v/>
      </c>
    </row>
    <row r="135" spans="4:15">
      <c r="D135" s="7" t="str">
        <f>IF(A135="","",SUMIF('Purchase Order'!$G$6:$G$1000,'FIFO COGS'!A135,'Purchase Order'!$L$6:$L$1000))</f>
        <v/>
      </c>
    </row>
    <row r="136" spans="4:15">
      <c r="D136" s="7" t="str">
        <f>IF(A136="","",SUMIF('Purchase Order'!$G$6:$G$1000,'FIFO COGS'!A136,'Purchase Order'!$L$6:$L$1000))</f>
        <v/>
      </c>
    </row>
    <row r="137" spans="4:15">
      <c r="D137" s="7" t="str">
        <f>IF(A137="","",SUMIF('Purchase Order'!$G$6:$G$1000,'FIFO COGS'!A137,'Purchase Order'!$L$6:$L$1000))</f>
        <v/>
      </c>
    </row>
    <row r="138" spans="4:15">
      <c r="D138" s="7" t="str">
        <f>IF(A138="","",SUMIF('Purchase Order'!$G$6:$G$1000,'FIFO COGS'!A138,'Purchase Order'!$L$6:$L$1000))</f>
        <v/>
      </c>
    </row>
    <row r="139" spans="4:15">
      <c r="D139" s="7" t="str">
        <f>IF(A139="","",SUMIF('Purchase Order'!$G$6:$G$1000,'FIFO COGS'!A139,'Purchase Order'!$L$6:$L$1000))</f>
        <v/>
      </c>
    </row>
    <row r="140" spans="4:15">
      <c r="D140" s="7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  <x14:dataValidation type="list" allowBlank="1" showInputMessage="1" showErrorMessage="1" xr:uid="{B24C3524-2EA2-4B89-8FC3-D20922EF4FDE}">
          <x14:formula1>
            <xm:f>'Brand Name'!$E$6:$E$1000</xm:f>
          </x14:formula1>
          <xm:sqref>E7:E100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DC25529-E89A-44E1-987A-A83C720CB473}">
  <ds:schemaRefs/>
</ds:datastoreItem>
</file>

<file path=customXml/itemProps2.xml><?xml version="1.0" encoding="utf-8"?>
<ds:datastoreItem xmlns:ds="http://schemas.openxmlformats.org/officeDocument/2006/customXml" ds:itemID="{54AFA536-0E54-4EB0-9657-057207CA5BCB}">
  <ds:schemaRefs/>
</ds:datastoreItem>
</file>

<file path=customXml/itemProps3.xml><?xml version="1.0" encoding="utf-8"?>
<ds:datastoreItem xmlns:ds="http://schemas.openxmlformats.org/officeDocument/2006/customXml" ds:itemID="{6E900D07-2A0E-44B4-8AF9-5AB013962D02}">
  <ds:schemaRefs/>
</ds:datastoreItem>
</file>

<file path=customXml/itemProps4.xml><?xml version="1.0" encoding="utf-8"?>
<ds:datastoreItem xmlns:ds="http://schemas.openxmlformats.org/officeDocument/2006/customXml" ds:itemID="{9BCFD3AB-800A-4F97-9FC3-E88BE56834DF}">
  <ds:schemaRefs/>
</ds:datastoreItem>
</file>

<file path=customXml/itemProps5.xml><?xml version="1.0" encoding="utf-8"?>
<ds:datastoreItem xmlns:ds="http://schemas.openxmlformats.org/officeDocument/2006/customXml" ds:itemID="{F5AC9265-CFF8-40F2-BD15-B3049E847C8E}">
  <ds:schemaRefs/>
</ds:datastoreItem>
</file>

<file path=customXml/itemProps6.xml><?xml version="1.0" encoding="utf-8"?>
<ds:datastoreItem xmlns:ds="http://schemas.openxmlformats.org/officeDocument/2006/customXml" ds:itemID="{72E1BB87-4E4A-4EBE-A627-DD97B9B1D66B}">
  <ds:schemaRefs/>
</ds:datastoreItem>
</file>

<file path=customXml/itemProps7.xml><?xml version="1.0" encoding="utf-8"?>
<ds:datastoreItem xmlns:ds="http://schemas.openxmlformats.org/officeDocument/2006/customXml" ds:itemID="{08DF6BF2-C40A-47C7-A6A1-99D9F2631F34}">
  <ds:schemaRefs/>
</ds:datastoreItem>
</file>

<file path=customXml/itemProps8.xml><?xml version="1.0" encoding="utf-8"?>
<ds:datastoreItem xmlns:ds="http://schemas.openxmlformats.org/officeDocument/2006/customXml" ds:itemID="{4EEC59BD-C5B5-45DE-AD1F-E81763FBF6E2}">
  <ds:schemaRefs/>
</ds:datastoreItem>
</file>

<file path=customXml/itemProps9.xml><?xml version="1.0" encoding="utf-8"?>
<ds:datastoreItem xmlns:ds="http://schemas.openxmlformats.org/officeDocument/2006/customXml" ds:itemID="{FB28AA96-D9A3-4B0C-A00F-98D524D65737}">
  <ds:schemaRefs/>
</ds:datastoreItem>
</file>

<file path=customXml/itemProps10.xml><?xml version="1.0" encoding="utf-8"?>
<ds:datastoreItem xmlns:ds="http://schemas.openxmlformats.org/officeDocument/2006/customXml" ds:itemID="{CAFF35AC-9240-42DB-9B38-92FBBA080754}">
  <ds:schemaRefs/>
</ds:datastoreItem>
</file>

<file path=customXml/itemProps11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D9373ADC-9445-4646-A5BD-818C59044730}">
  <ds:schemaRefs/>
</ds:datastoreItem>
</file>

<file path=customXml/itemProps13.xml><?xml version="1.0" encoding="utf-8"?>
<ds:datastoreItem xmlns:ds="http://schemas.openxmlformats.org/officeDocument/2006/customXml" ds:itemID="{BE47BEF0-B08A-473C-803A-8FFA4B95BC3B}">
  <ds:schemaRefs/>
</ds:datastoreItem>
</file>

<file path=customXml/itemProps14.xml><?xml version="1.0" encoding="utf-8"?>
<ds:datastoreItem xmlns:ds="http://schemas.openxmlformats.org/officeDocument/2006/customXml" ds:itemID="{33479765-DFB0-4D5A-8308-877345300787}">
  <ds:schemaRefs/>
</ds:datastoreItem>
</file>

<file path=customXml/itemProps15.xml><?xml version="1.0" encoding="utf-8"?>
<ds:datastoreItem xmlns:ds="http://schemas.openxmlformats.org/officeDocument/2006/customXml" ds:itemID="{ABD916C6-EDBE-4F0E-BCBF-37149D7B9A39}">
  <ds:schemaRefs/>
</ds:datastoreItem>
</file>

<file path=customXml/itemProps16.xml><?xml version="1.0" encoding="utf-8"?>
<ds:datastoreItem xmlns:ds="http://schemas.openxmlformats.org/officeDocument/2006/customXml" ds:itemID="{1F9ACA71-DBB8-49AD-815E-E30F0B909BB4}">
  <ds:schemaRefs/>
</ds:datastoreItem>
</file>

<file path=customXml/itemProps17.xml><?xml version="1.0" encoding="utf-8"?>
<ds:datastoreItem xmlns:ds="http://schemas.openxmlformats.org/officeDocument/2006/customXml" ds:itemID="{3054B7DA-913E-42A4-A84E-485B643CD5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Employee</vt:lpstr>
      <vt:lpstr>Department</vt:lpstr>
      <vt:lpstr>Employee Position</vt:lpstr>
      <vt:lpstr>Company Employee</vt:lpstr>
      <vt:lpstr>Filter Employee</vt:lpstr>
      <vt:lpstr>Brand Name</vt:lpstr>
      <vt:lpstr>Store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'FIFO COGS'!Extract</vt:lpstr>
      <vt:lpstr>ListBrand</vt:lpstr>
      <vt:lpstr>ListProduct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2024-06-22T09:53:34Z</dcterms:modified>
</cp:coreProperties>
</file>